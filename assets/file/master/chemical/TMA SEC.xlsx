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F9885724-9E9C-43B9-9A5E-47C819123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definedNames>
    <definedName name="_xlnm._FilterDatabase" localSheetId="0" hidden="1">THตัด!$B$4:$B$60</definedName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5" l="1"/>
</calcChain>
</file>

<file path=xl/sharedStrings.xml><?xml version="1.0" encoding="utf-8"?>
<sst xmlns="http://schemas.openxmlformats.org/spreadsheetml/2006/main" count="462" uniqueCount="192">
  <si>
    <t>No.</t>
  </si>
  <si>
    <t>ID</t>
  </si>
  <si>
    <t>REV</t>
  </si>
  <si>
    <t>EFFECTIVE</t>
  </si>
  <si>
    <t>RECORD</t>
  </si>
  <si>
    <t>NO.</t>
  </si>
  <si>
    <t>DATE</t>
  </si>
  <si>
    <t>RECEIVED DATE</t>
  </si>
  <si>
    <t>[Carbinet No./Rack No./Column]</t>
  </si>
  <si>
    <t>Nox Rust 366</t>
  </si>
  <si>
    <t>*</t>
  </si>
  <si>
    <t>OK</t>
  </si>
  <si>
    <t>Marsh K stencil ink</t>
  </si>
  <si>
    <t>Argon Gas 100%</t>
  </si>
  <si>
    <t>Varnish V335-01</t>
  </si>
  <si>
    <t>K2  (Varnish Room)</t>
  </si>
  <si>
    <t>PK-4210</t>
  </si>
  <si>
    <t>BLACK SEAL</t>
  </si>
  <si>
    <t>Housing ass'y</t>
  </si>
  <si>
    <t>Main ass'y</t>
  </si>
  <si>
    <t>stator ass'y</t>
  </si>
  <si>
    <t>Acetone</t>
  </si>
  <si>
    <t>Three Bond 1401C</t>
  </si>
  <si>
    <t>Three Bond  1303N</t>
  </si>
  <si>
    <t>Amec Thinner DP-2</t>
  </si>
  <si>
    <t>K2 (Final ass'y)</t>
  </si>
  <si>
    <t>TKP Primer no.AMEC SP-N.5.5</t>
  </si>
  <si>
    <t>Shell Gadus S2V100</t>
  </si>
  <si>
    <t>White Aluminium Oxide</t>
  </si>
  <si>
    <t>K2 (Shoes ass'y)</t>
  </si>
  <si>
    <t>Ok</t>
  </si>
  <si>
    <t>Hamatite Y-900-UN</t>
  </si>
  <si>
    <t>Sundine 687F-UN</t>
  </si>
  <si>
    <t>MD-3H (Rope Grease)</t>
  </si>
  <si>
    <t>K2 (Break ass'y)</t>
  </si>
  <si>
    <t>CABINET N0. : Controlled by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</si>
  <si>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</si>
  <si>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</si>
  <si>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</si>
  <si>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</si>
  <si>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</si>
  <si>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</si>
  <si>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</si>
  <si>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</si>
  <si>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</si>
  <si>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</si>
  <si>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</si>
  <si>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</si>
  <si>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</si>
  <si>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</si>
  <si>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</si>
  <si>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HARDLOC C-373-08 A/B</t>
  </si>
  <si>
    <t>Final assy</t>
  </si>
  <si>
    <t>K2 (Main ass'y)</t>
  </si>
  <si>
    <t>K2 (Stator)</t>
  </si>
  <si>
    <t>K2 (Varnish Room)</t>
  </si>
  <si>
    <t>HARD LOCK (A glue)G672-15AP</t>
  </si>
  <si>
    <t>HARD LOCK (B glue)G672-15BP</t>
  </si>
  <si>
    <t>K2 (Magnet)</t>
  </si>
  <si>
    <t>K2 (Outer Bearing)</t>
  </si>
  <si>
    <t>K2 (Housing)</t>
  </si>
  <si>
    <t>K2 (Main ass'y and Break ass'y)</t>
  </si>
  <si>
    <t>K2 (Motor ass'y)</t>
  </si>
  <si>
    <t>K2 Final Ass'y</t>
  </si>
  <si>
    <t>K2 (WM07,08,09,10,11)</t>
  </si>
  <si>
    <t>K2 (Final ass'y), Housing</t>
  </si>
  <si>
    <t>Dow Corning ( R ) SE 4485</t>
  </si>
  <si>
    <t>Door Motor Ass'y Line</t>
  </si>
  <si>
    <t>LIST OF TMA CHEMICAL SDS REGISTRATION RECORDS</t>
  </si>
  <si>
    <t>SDS</t>
  </si>
  <si>
    <t>Cemedine super X no.8008</t>
  </si>
  <si>
    <t>K4 Door Motor</t>
  </si>
  <si>
    <t>Total</t>
  </si>
  <si>
    <t>AquaKlean AQ302</t>
  </si>
  <si>
    <t>DNT ATC Enamel AMEC Grey (Touch Up)</t>
  </si>
  <si>
    <t>23 Nov.2022</t>
  </si>
  <si>
    <t>12 Dec.2022</t>
  </si>
  <si>
    <t>K2 (PM Motor)</t>
  </si>
  <si>
    <t>Amilac 8056 Thinner</t>
  </si>
  <si>
    <t>CONTROLLER : Mr.Sakanan / Mr.Wichai</t>
  </si>
  <si>
    <t>MK-E (Lubricating Grease)</t>
  </si>
  <si>
    <t>29Sep.2023</t>
  </si>
  <si>
    <t>K2 (Final A'ssy)</t>
  </si>
  <si>
    <t>A</t>
  </si>
  <si>
    <t>1 Nov.2023</t>
  </si>
  <si>
    <t>Percumyl D</t>
  </si>
  <si>
    <t>FLUOROGUARD  Z30A</t>
  </si>
  <si>
    <t>MOLYKOTE  G-N PLUS PASTE</t>
  </si>
  <si>
    <t>HERME SEAL SL-3</t>
  </si>
  <si>
    <t>DNT ATC Enamel DP N5.5</t>
  </si>
  <si>
    <t>Turbo Crocodile Methanol</t>
  </si>
  <si>
    <t>21 Aug.2001</t>
  </si>
  <si>
    <t>5 Oct.2010</t>
  </si>
  <si>
    <t>16 Sep.2010</t>
  </si>
  <si>
    <t>31 Mar.2004</t>
  </si>
  <si>
    <t>1 Aug.2017</t>
  </si>
  <si>
    <t>10 Nov.2013</t>
  </si>
  <si>
    <t>12 Jan.2018</t>
  </si>
  <si>
    <t>5 Jun.2013</t>
  </si>
  <si>
    <t>Flalit No.586 Scarlet Medium</t>
  </si>
  <si>
    <t>14 Dec.2023</t>
  </si>
  <si>
    <t>D-Bright Cleaning</t>
  </si>
  <si>
    <t>มาร์คสีที่ bolt จุดงาน break assy</t>
  </si>
  <si>
    <t>EG Tape (Type S)</t>
  </si>
  <si>
    <t>5 Jan.2023</t>
  </si>
  <si>
    <t>ใช้พัน Coil ของงาน Brake Ass'y</t>
  </si>
  <si>
    <t>5 Jan.2024</t>
  </si>
  <si>
    <t>15 Jan.2024</t>
  </si>
  <si>
    <t>Wetting Tension Test Mixture No.35.0</t>
  </si>
  <si>
    <t>น้ำยาใช้ทดสอบแม่เหล็ก PM Motor</t>
  </si>
  <si>
    <t>VanishV337-52</t>
  </si>
  <si>
    <t>PerHexa 25B</t>
  </si>
  <si>
    <t>13 Feb.2023</t>
  </si>
  <si>
    <t>น้ำยาวานิช (ตัวใหม่)</t>
  </si>
  <si>
    <t>สารเคมีใช้ผสมกับน้ำยาวานิชใหม่</t>
  </si>
  <si>
    <t>K2 (Vanish Room)</t>
  </si>
  <si>
    <t>ชื่อสารเคมี /</t>
  </si>
  <si>
    <t>ชื่อทางการค้า</t>
  </si>
  <si>
    <t>การใช้ประโยชน์</t>
  </si>
  <si>
    <t>จุดใช้งาน / กระบวนการ</t>
  </si>
  <si>
    <t>จุดจัดเก็บ</t>
  </si>
  <si>
    <t>จำนวน</t>
  </si>
  <si>
    <t>ทินเนอร์ใช้ผสมสีทาชิ้นงาน</t>
  </si>
  <si>
    <t>น้ำมันป้องกันสนิม</t>
  </si>
  <si>
    <t>สีใช้ทาชิ้นงาน</t>
  </si>
  <si>
    <t>ก๊าซใช้เชื่อมชิ้นงาน Stator</t>
  </si>
  <si>
    <t>Stator Line</t>
  </si>
  <si>
    <t>Final Ass'y</t>
  </si>
  <si>
    <t>หมึกใช้เพ้นท์ลงบนบรรจุภัณฑ์</t>
  </si>
  <si>
    <t>Break Ass'y</t>
  </si>
  <si>
    <t>กาวยึดติดชิ้นงาน</t>
  </si>
  <si>
    <t>ตัวทำละลายน้ำยาวานิช</t>
  </si>
  <si>
    <t>Vanish Room</t>
  </si>
  <si>
    <t xml:space="preserve">น้ำยาวานิชใช้ชุบชิ้นงาน Stator </t>
  </si>
  <si>
    <t>MR-X Ass'y</t>
  </si>
  <si>
    <t>กาวใช้ติดแผ่นแม่เหล็กชิ้นงาน Rotor</t>
  </si>
  <si>
    <t>Washing Machine 7-11</t>
  </si>
  <si>
    <t>สารใช้ทำความสะอาดเครื่องจักร</t>
  </si>
  <si>
    <t>สารใช้ทำความสะอาดชิ้นงาน</t>
  </si>
  <si>
    <t>Motor Ass'y</t>
  </si>
  <si>
    <t>ใช้เป็นสารเคลือบป้องกันวานิชเกาะชิ้นงาน</t>
  </si>
  <si>
    <t xml:space="preserve"> ใช้เป็นสารหล่อลื่น</t>
  </si>
  <si>
    <t xml:space="preserve">กาวหยอดน็อต สกูร </t>
  </si>
  <si>
    <t>ใช้เช็ดชิ้นงาน</t>
  </si>
  <si>
    <t>ผงแป้งสีขาวใช้ในกระบวนการพ่น</t>
  </si>
  <si>
    <t>Shoe Ass'y</t>
  </si>
  <si>
    <t>น้ำยาดันฝุ่นใช้ทำความสะอาดพื้น</t>
  </si>
  <si>
    <t>ใช้เป็นน้ำมันหล่อลื่น bearing</t>
  </si>
  <si>
    <t>จารบีเคลือบสลิงใช้ทาป้องกันสนิม</t>
  </si>
  <si>
    <t>Door Motor Ass'y</t>
  </si>
  <si>
    <t>สีทาชิ้นงาน</t>
  </si>
  <si>
    <t>ใช้ล้างชิ้นงาน Shaft Door motor</t>
  </si>
  <si>
    <t>จารบีหล่อลื่น สำหรับ traction machine</t>
  </si>
  <si>
    <t>Outer Bearing</t>
  </si>
  <si>
    <t>Rotor Ass'y</t>
  </si>
  <si>
    <t>งานบัดกรีตะกั่ว</t>
  </si>
  <si>
    <t>Unimax R No.2 Grease</t>
  </si>
  <si>
    <t>CLEAN SOLDER SOLDER BAR NP303S</t>
  </si>
  <si>
    <t>จารบีใช้ทา Oring ของ Bearing</t>
  </si>
  <si>
    <t>3 Mar.2023</t>
  </si>
  <si>
    <t>16 Nov.2022</t>
  </si>
  <si>
    <t>Washing Thinner</t>
  </si>
  <si>
    <t>21 Nov.2007</t>
  </si>
  <si>
    <t>21 Aug.2024</t>
  </si>
  <si>
    <t xml:space="preserve">ใช้ล้าง Guide Pin </t>
  </si>
  <si>
    <t>K2 (Break Ass'y)</t>
  </si>
  <si>
    <t>1</t>
  </si>
  <si>
    <t>3</t>
  </si>
  <si>
    <t>ผู้ควบคุม : คุณศักดิ์อนันต์ / คุณวิชัย</t>
  </si>
  <si>
    <t>PM Motor</t>
  </si>
  <si>
    <t>Final' Ass'y</t>
  </si>
  <si>
    <t>Housing, Final Ass'y</t>
  </si>
  <si>
    <t>B</t>
  </si>
  <si>
    <t>J-Shop 600</t>
  </si>
  <si>
    <t>26 Sep.2024</t>
  </si>
  <si>
    <t>ใช้เช็ดทำความสะอาดเครื่องจักร</t>
  </si>
  <si>
    <t>น้ำยาเช็ดกระจก (สีฟ้า)</t>
  </si>
  <si>
    <t>15 Oct.2024</t>
  </si>
  <si>
    <t>ใช้เช็ดกระจก</t>
  </si>
  <si>
    <t>Main Ass'y</t>
  </si>
  <si>
    <t>TKP Primer no.SP-2.5Y 8/12</t>
  </si>
  <si>
    <t>SUPER CHECK REMOVER UR-ST</t>
  </si>
  <si>
    <t>SUPER CHECK DEVELOPER UD-ST</t>
  </si>
  <si>
    <t>SUPER CHECK PENETRANT UP-ST</t>
  </si>
  <si>
    <t>14 Nov.2024</t>
  </si>
  <si>
    <t>Isopropyl Alcohol 70%</t>
  </si>
  <si>
    <t>แอลกอฮอล์ใช้เช็ดชิ้นงาน</t>
  </si>
  <si>
    <t>PM Motor Testing</t>
  </si>
  <si>
    <t xml:space="preserve">K3 Testing </t>
  </si>
  <si>
    <t>ใช้ทำความสะอาดชิ้นงาน (เช็คตา-มด)</t>
  </si>
  <si>
    <t>น้ำยาซึมลึก (เช็คตา-มด)</t>
  </si>
  <si>
    <t>ตัวดันน้ำยา (เช็คตา-มด)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</si>
</sst>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\ mmm\ yy;@"/>
    <numFmt numFmtId="165" formatCode="000"/>
  </numFmts>
  <fonts count="23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sz val="15"/>
      <name val="FreesiaUPC"/>
      <family val="2"/>
      <charset val="222"/>
    </font>
    <font>
      <b/>
      <sz val="15"/>
      <name val="FreesiaUPC"/>
      <family val="2"/>
      <charset val="222"/>
    </font>
    <font>
      <b/>
      <sz val="16"/>
      <name val="FreesiaUPC"/>
      <family val="2"/>
      <charset val="222"/>
    </font>
    <font>
      <b/>
      <sz val="12"/>
      <name val="FreesiaUPC"/>
      <family val="2"/>
      <charset val="222"/>
    </font>
    <font>
      <sz val="13"/>
      <name val="FreesiaUPC"/>
      <family val="2"/>
      <charset val="222"/>
    </font>
    <font>
      <b/>
      <sz val="14"/>
      <name val="FreesiaUPC"/>
      <family val="2"/>
      <charset val="222"/>
    </font>
    <font>
      <b/>
      <sz val="13"/>
      <name val="FreesiaUPC"/>
      <family val="2"/>
      <charset val="222"/>
    </font>
    <font>
      <b/>
      <sz val="10"/>
      <name val="FreesiaUPC"/>
      <family val="2"/>
      <charset val="222"/>
    </font>
    <font>
      <b/>
      <sz val="8"/>
      <name val="FreesiaUPC"/>
      <family val="2"/>
      <charset val="222"/>
    </font>
    <font>
      <sz val="10"/>
      <name val="MS Sans Serif"/>
    </font>
    <font>
      <sz val="13"/>
      <name val="FreesiaUPC"/>
      <family val="2"/>
    </font>
    <font>
      <b/>
      <sz val="13"/>
      <name val="FreesiaUPC"/>
      <family val="2"/>
    </font>
    <font>
      <sz val="14"/>
      <name val="FreesiaUPC"/>
      <family val="2"/>
    </font>
    <font>
      <b/>
      <sz val="16"/>
      <name val="FreesiaUPC"/>
      <family val="2"/>
    </font>
    <font>
      <sz val="13"/>
      <color indexed="8"/>
      <name val="FreesiaUPC"/>
      <family val="2"/>
    </font>
    <font>
      <b/>
      <sz val="14"/>
      <name val="FreesiaUPC"/>
      <family val="2"/>
    </font>
    <font>
      <sz val="11"/>
      <name val="FreesiaUPC"/>
      <family val="2"/>
    </font>
    <font>
      <sz val="8"/>
      <name val="Calibri"/>
      <family val="2"/>
    </font>
    <font>
      <sz val="12"/>
      <name val="FreesiaUPC"/>
      <family val="2"/>
    </font>
    <font>
      <sz val="13"/>
      <color theme="1"/>
      <name val="FreesiaUPC"/>
      <family val="2"/>
    </font>
    <font>
      <b/>
      <sz val="24"/>
      <color theme="1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102">
    <xf numFmtId="0" fontId="0" fillId="0" borderId="0" xfId="0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6" fillId="0" borderId="3" xfId="2" applyFont="1" applyBorder="1"/>
    <xf numFmtId="0" fontId="6" fillId="0" borderId="0" xfId="2" applyFont="1" applyBorder="1"/>
    <xf numFmtId="15" fontId="6" fillId="0" borderId="4" xfId="2" applyNumberFormat="1" applyFont="1" applyBorder="1" applyAlignment="1">
      <alignment horizontal="left"/>
    </xf>
    <xf numFmtId="0" fontId="6" fillId="0" borderId="0" xfId="2" applyFont="1" applyBorder="1" applyAlignment="1">
      <alignment horizontal="center"/>
    </xf>
    <xf numFmtId="0" fontId="8" fillId="0" borderId="4" xfId="2" applyFont="1" applyBorder="1" applyAlignment="1">
      <alignment horizontal="left"/>
    </xf>
    <xf numFmtId="49" fontId="6" fillId="0" borderId="0" xfId="2" applyNumberFormat="1" applyFont="1" applyBorder="1"/>
    <xf numFmtId="0" fontId="8" fillId="0" borderId="5" xfId="2" applyFont="1" applyBorder="1"/>
    <xf numFmtId="0" fontId="8" fillId="0" borderId="6" xfId="2" applyFont="1" applyBorder="1" applyAlignment="1">
      <alignment horizontal="left"/>
    </xf>
    <xf numFmtId="0" fontId="6" fillId="0" borderId="6" xfId="2" applyFont="1" applyBorder="1"/>
    <xf numFmtId="0" fontId="6" fillId="0" borderId="6" xfId="2" applyFont="1" applyBorder="1" applyAlignment="1">
      <alignment horizontal="center"/>
    </xf>
    <xf numFmtId="15" fontId="6" fillId="0" borderId="7" xfId="2" applyNumberFormat="1" applyFont="1" applyBorder="1" applyAlignment="1">
      <alignment horizontal="left"/>
    </xf>
    <xf numFmtId="0" fontId="12" fillId="0" borderId="6" xfId="2" applyFont="1" applyBorder="1" applyAlignment="1">
      <alignment horizontal="center"/>
    </xf>
    <xf numFmtId="0" fontId="12" fillId="0" borderId="6" xfId="2" applyFont="1" applyBorder="1"/>
    <xf numFmtId="0" fontId="21" fillId="0" borderId="0" xfId="0" applyFont="1"/>
    <xf numFmtId="0" fontId="12" fillId="0" borderId="8" xfId="2" applyFont="1" applyBorder="1"/>
    <xf numFmtId="0" fontId="12" fillId="0" borderId="0" xfId="2" applyFont="1" applyBorder="1"/>
    <xf numFmtId="0" fontId="12" fillId="0" borderId="0" xfId="2" applyFont="1" applyBorder="1" applyAlignment="1">
      <alignment horizontal="left"/>
    </xf>
    <xf numFmtId="0" fontId="12" fillId="0" borderId="9" xfId="2" applyFont="1" applyBorder="1"/>
    <xf numFmtId="0" fontId="13" fillId="0" borderId="0" xfId="2" applyFont="1" applyBorder="1" applyAlignment="1">
      <alignment horizontal="left"/>
    </xf>
    <xf numFmtId="0" fontId="12" fillId="0" borderId="3" xfId="2" applyFont="1" applyBorder="1"/>
    <xf numFmtId="0" fontId="12" fillId="0" borderId="3" xfId="2" applyFont="1" applyBorder="1" applyAlignment="1">
      <alignment horizontal="left"/>
    </xf>
    <xf numFmtId="0" fontId="12" fillId="0" borderId="3" xfId="2" applyFont="1" applyBorder="1" applyAlignment="1">
      <alignment horizontal="center"/>
    </xf>
    <xf numFmtId="0" fontId="12" fillId="0" borderId="10" xfId="2" applyFont="1" applyBorder="1"/>
    <xf numFmtId="0" fontId="22" fillId="0" borderId="0" xfId="0" applyFont="1" applyAlignment="1">
      <alignment vertical="top"/>
    </xf>
    <xf numFmtId="0" fontId="12" fillId="0" borderId="11" xfId="2" applyFont="1" applyBorder="1" applyAlignment="1">
      <alignment horizontal="center"/>
    </xf>
    <xf numFmtId="165" fontId="16" fillId="0" borderId="11" xfId="2" quotePrefix="1" applyNumberFormat="1" applyFont="1" applyFill="1" applyBorder="1" applyAlignment="1" applyProtection="1">
      <alignment horizontal="center" vertical="top" wrapText="1"/>
      <protection locked="0"/>
    </xf>
    <xf numFmtId="0" fontId="12" fillId="0" borderId="11" xfId="2" applyFont="1" applyBorder="1"/>
    <xf numFmtId="164" fontId="12" fillId="0" borderId="11" xfId="2" applyNumberFormat="1" applyFont="1" applyBorder="1" applyAlignment="1">
      <alignment horizontal="center"/>
    </xf>
    <xf numFmtId="0" fontId="12" fillId="0" borderId="11" xfId="2" applyFont="1" applyBorder="1" applyAlignment="1">
      <alignment horizontal="left"/>
    </xf>
    <xf numFmtId="0" fontId="13" fillId="0" borderId="11" xfId="2" applyFont="1" applyBorder="1" applyAlignment="1">
      <alignment horizontal="center"/>
    </xf>
    <xf numFmtId="165" fontId="12" fillId="0" borderId="11" xfId="2" quotePrefix="1" applyNumberFormat="1" applyFont="1" applyFill="1" applyBorder="1" applyAlignment="1" applyProtection="1">
      <alignment horizontal="center" vertical="top" wrapText="1"/>
      <protection locked="0"/>
    </xf>
    <xf numFmtId="0" fontId="12" fillId="0" borderId="11" xfId="2" applyFont="1" applyFill="1" applyBorder="1"/>
    <xf numFmtId="0" fontId="12" fillId="0" borderId="11" xfId="2" applyFont="1" applyFill="1" applyBorder="1" applyAlignment="1">
      <alignment horizontal="center"/>
    </xf>
    <xf numFmtId="0" fontId="12" fillId="0" borderId="11" xfId="2" applyFont="1" applyFill="1" applyBorder="1" applyAlignment="1"/>
    <xf numFmtId="0" fontId="12" fillId="0" borderId="11" xfId="2" applyFont="1" applyFill="1" applyBorder="1" applyAlignment="1">
      <alignment horizontal="left" vertical="center"/>
    </xf>
    <xf numFmtId="0" fontId="12" fillId="0" borderId="11" xfId="2" applyFont="1" applyFill="1" applyBorder="1" applyAlignment="1">
      <alignment horizontal="center" vertical="center"/>
    </xf>
    <xf numFmtId="165" fontId="12" fillId="0" borderId="11" xfId="2" applyNumberFormat="1" applyFont="1" applyBorder="1" applyAlignment="1">
      <alignment horizontal="center"/>
    </xf>
    <xf numFmtId="49" fontId="12" fillId="0" borderId="11" xfId="2" applyNumberFormat="1" applyFont="1" applyFill="1" applyBorder="1"/>
    <xf numFmtId="164" fontId="12" fillId="0" borderId="11" xfId="2" quotePrefix="1" applyNumberFormat="1" applyFont="1" applyBorder="1" applyAlignment="1">
      <alignment horizontal="center"/>
    </xf>
    <xf numFmtId="49" fontId="12" fillId="0" borderId="11" xfId="2" applyNumberFormat="1" applyFont="1" applyBorder="1"/>
    <xf numFmtId="165" fontId="12" fillId="0" borderId="11" xfId="2" applyNumberFormat="1" applyFont="1" applyFill="1" applyBorder="1" applyAlignment="1">
      <alignment horizontal="center"/>
    </xf>
    <xf numFmtId="15" fontId="12" fillId="0" borderId="11" xfId="2" applyNumberFormat="1" applyFont="1" applyFill="1" applyBorder="1" applyAlignment="1"/>
    <xf numFmtId="0" fontId="13" fillId="0" borderId="11" xfId="2" applyFont="1" applyFill="1" applyBorder="1" applyAlignment="1"/>
    <xf numFmtId="0" fontId="16" fillId="0" borderId="11" xfId="2" applyNumberFormat="1" applyFont="1" applyFill="1" applyBorder="1" applyAlignment="1" applyProtection="1">
      <alignment horizontal="center" vertical="top" wrapText="1"/>
      <protection locked="0"/>
    </xf>
    <xf numFmtId="0" fontId="13" fillId="0" borderId="11" xfId="2" applyFont="1" applyFill="1" applyBorder="1" applyAlignment="1">
      <alignment horizontal="center"/>
    </xf>
    <xf numFmtId="0" fontId="12" fillId="0" borderId="11" xfId="2" quotePrefix="1" applyNumberFormat="1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>
      <alignment vertical="center"/>
    </xf>
    <xf numFmtId="0" fontId="12" fillId="0" borderId="11" xfId="2" applyFont="1" applyFill="1" applyBorder="1" applyAlignment="1">
      <alignment vertical="center"/>
    </xf>
    <xf numFmtId="0" fontId="12" fillId="0" borderId="11" xfId="2" applyNumberFormat="1" applyFont="1" applyFill="1" applyBorder="1" applyAlignment="1" applyProtection="1">
      <alignment horizontal="center" vertical="top" wrapText="1"/>
      <protection locked="0"/>
    </xf>
    <xf numFmtId="15" fontId="12" fillId="0" borderId="11" xfId="2" applyNumberFormat="1" applyFont="1" applyFill="1" applyBorder="1" applyAlignment="1">
      <alignment horizontal="center"/>
    </xf>
    <xf numFmtId="0" fontId="12" fillId="0" borderId="11" xfId="2" quotePrefix="1" applyNumberFormat="1" applyFont="1" applyFill="1" applyBorder="1" applyAlignment="1" applyProtection="1">
      <alignment horizontal="center" vertical="top" wrapText="1"/>
      <protection locked="0"/>
    </xf>
    <xf numFmtId="0" fontId="12" fillId="3" borderId="11" xfId="2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9" fillId="2" borderId="11" xfId="1" applyFont="1" applyFill="1" applyBorder="1"/>
    <xf numFmtId="0" fontId="10" fillId="2" borderId="11" xfId="1" applyFont="1" applyFill="1" applyBorder="1" applyAlignment="1">
      <alignment horizontal="center"/>
    </xf>
    <xf numFmtId="0" fontId="2" fillId="2" borderId="11" xfId="1" applyFont="1" applyFill="1" applyBorder="1"/>
    <xf numFmtId="0" fontId="13" fillId="4" borderId="11" xfId="2" applyFont="1" applyFill="1" applyBorder="1" applyAlignment="1">
      <alignment vertical="center"/>
    </xf>
    <xf numFmtId="0" fontId="15" fillId="4" borderId="11" xfId="2" applyFont="1" applyFill="1" applyBorder="1" applyAlignment="1">
      <alignment horizontal="center" vertical="center"/>
    </xf>
    <xf numFmtId="0" fontId="12" fillId="4" borderId="11" xfId="2" applyFont="1" applyFill="1" applyBorder="1"/>
    <xf numFmtId="0" fontId="12" fillId="4" borderId="11" xfId="2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14" fillId="0" borderId="2" xfId="0" applyFont="1" applyBorder="1" applyAlignment="1"/>
    <xf numFmtId="0" fontId="12" fillId="0" borderId="6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3" borderId="11" xfId="2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165" fontId="12" fillId="3" borderId="11" xfId="2" applyNumberFormat="1" applyFont="1" applyFill="1" applyBorder="1" applyAlignment="1">
      <alignment horizontal="center"/>
    </xf>
    <xf numFmtId="49" fontId="12" fillId="3" borderId="11" xfId="2" applyNumberFormat="1" applyFont="1" applyFill="1" applyBorder="1"/>
    <xf numFmtId="0" fontId="21" fillId="3" borderId="0" xfId="0" applyFont="1" applyFill="1"/>
    <xf numFmtId="0" fontId="12" fillId="3" borderId="11" xfId="2" applyFont="1" applyFill="1" applyBorder="1" applyAlignment="1"/>
    <xf numFmtId="0" fontId="14" fillId="3" borderId="11" xfId="2" applyFont="1" applyFill="1" applyBorder="1" applyAlignment="1">
      <alignment horizontal="left" vertical="center"/>
    </xf>
    <xf numFmtId="164" fontId="12" fillId="3" borderId="11" xfId="2" quotePrefix="1" applyNumberFormat="1" applyFont="1" applyFill="1" applyBorder="1" applyAlignment="1">
      <alignment horizontal="center" vertical="center"/>
    </xf>
    <xf numFmtId="0" fontId="8" fillId="0" borderId="12" xfId="2" applyFont="1" applyBorder="1"/>
    <xf numFmtId="0" fontId="8" fillId="0" borderId="13" xfId="2" applyFont="1" applyBorder="1" applyAlignment="1">
      <alignment horizontal="left"/>
    </xf>
    <xf numFmtId="0" fontId="6" fillId="0" borderId="13" xfId="2" applyFont="1" applyBorder="1"/>
    <xf numFmtId="0" fontId="6" fillId="0" borderId="13" xfId="2" applyFont="1" applyBorder="1" applyAlignment="1">
      <alignment horizontal="center"/>
    </xf>
    <xf numFmtId="0" fontId="12" fillId="0" borderId="13" xfId="2" applyFont="1" applyBorder="1"/>
    <xf numFmtId="0" fontId="12" fillId="0" borderId="13" xfId="2" applyFont="1" applyBorder="1" applyAlignment="1">
      <alignment horizontal="center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/>
    <xf numFmtId="0" fontId="17" fillId="4" borderId="11" xfId="2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vertical="center"/>
    </xf>
    <xf numFmtId="0" fontId="5" fillId="2" borderId="11" xfId="1" applyFont="1" applyFill="1" applyBorder="1" applyAlignment="1">
      <alignment horizontal="center"/>
    </xf>
    <xf numFmtId="0" fontId="12" fillId="0" borderId="2" xfId="2" applyFont="1" applyFill="1" applyBorder="1"/>
    <xf numFmtId="0" fontId="12" fillId="0" borderId="1" xfId="0" applyFont="1" applyBorder="1"/>
    <xf numFmtId="0" fontId="12" fillId="0" borderId="11" xfId="0" applyFont="1" applyBorder="1"/>
    <xf numFmtId="0" fontId="20" fillId="0" borderId="11" xfId="0" applyFont="1" applyBorder="1" applyAlignment="1">
      <alignment vertical="center"/>
    </xf>
    <xf numFmtId="0" fontId="7" fillId="2" borderId="11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403807</xdr:colOff>
      <xdr:row>0</xdr:row>
      <xdr:rowOff>0</xdr:rowOff>
    </xdr:from>
    <xdr:to>
      <xdr:col>8</xdr:col>
      <xdr:colOff>1025500</xdr:colOff>
      <xdr:row>0</xdr:row>
      <xdr:rowOff>314738</xdr:rowOff>
    </xdr:to>
    <xdr:sp macro="" textlink="">
      <xdr:nvSpPr>
        <xdr:cNvPr id="18" name="Text Box 46">
          <a:extLst>
            <a:ext uri="{FF2B5EF4-FFF2-40B4-BE49-F238E27FC236}">
              <a16:creationId xmlns:a16="http://schemas.microsoft.com/office/drawing/2014/main" id="{5E83D62A-8C20-C361-68F6-D61927493EA4}"/>
            </a:ext>
          </a:extLst>
        </xdr:cNvPr>
        <xdr:cNvSpPr txBox="1">
          <a:spLocks noChangeArrowheads="1"/>
        </xdr:cNvSpPr>
      </xdr:nvSpPr>
      <xdr:spPr bwMode="auto">
        <a:xfrm>
          <a:off x="7963726" y="0"/>
          <a:ext cx="706469" cy="31473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190500</xdr:colOff>
      <xdr:row>0</xdr:row>
      <xdr:rowOff>9525</xdr:rowOff>
    </xdr:from>
    <xdr:to>
      <xdr:col>12</xdr:col>
      <xdr:colOff>114300</xdr:colOff>
      <xdr:row>0</xdr:row>
      <xdr:rowOff>933450</xdr:rowOff>
    </xdr:to>
    <xdr:grpSp>
      <xdr:nvGrpSpPr>
        <xdr:cNvPr id="3333" name="Group 28">
          <a:extLst>
            <a:ext uri="{FF2B5EF4-FFF2-40B4-BE49-F238E27FC236}">
              <a16:creationId xmlns:a16="http://schemas.microsoft.com/office/drawing/2014/main" id="{7514DEC2-09BB-D403-77C0-A98A516F32D3}"/>
            </a:ext>
          </a:extLst>
        </xdr:cNvPr>
        <xdr:cNvGrpSpPr>
          <a:grpSpLocks/>
        </xdr:cNvGrpSpPr>
      </xdr:nvGrpSpPr>
      <xdr:grpSpPr bwMode="auto">
        <a:xfrm>
          <a:off x="6210300" y="9525"/>
          <a:ext cx="3676650" cy="923925"/>
          <a:chOff x="6224380" y="12885"/>
          <a:chExt cx="3693311" cy="926599"/>
        </a:xfrm>
      </xdr:grpSpPr>
      <xdr:sp macro="" textlink="">
        <xdr:nvSpPr>
          <xdr:cNvPr id="3336" name="Rectangle 44">
            <a:extLst>
              <a:ext uri="{FF2B5EF4-FFF2-40B4-BE49-F238E27FC236}">
                <a16:creationId xmlns:a16="http://schemas.microsoft.com/office/drawing/2014/main" id="{E2303AFF-C09B-EF7D-6208-DF4028B62249}"/>
              </a:ext>
            </a:extLst>
          </xdr:cNvPr>
          <xdr:cNvSpPr>
            <a:spLocks noChangeArrowheads="1"/>
          </xdr:cNvSpPr>
        </xdr:nvSpPr>
        <xdr:spPr bwMode="auto">
          <a:xfrm>
            <a:off x="6224382" y="53065"/>
            <a:ext cx="831446" cy="8864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3337" name="Group 13">
            <a:extLst>
              <a:ext uri="{FF2B5EF4-FFF2-40B4-BE49-F238E27FC236}">
                <a16:creationId xmlns:a16="http://schemas.microsoft.com/office/drawing/2014/main" id="{EAA4A88E-53B6-ABA4-B0F1-3F4E5AB9DF48}"/>
              </a:ext>
            </a:extLst>
          </xdr:cNvPr>
          <xdr:cNvGrpSpPr>
            <a:grpSpLocks/>
          </xdr:cNvGrpSpPr>
        </xdr:nvGrpSpPr>
        <xdr:grpSpPr bwMode="auto">
          <a:xfrm>
            <a:off x="6224380" y="12885"/>
            <a:ext cx="3693311" cy="924113"/>
            <a:chOff x="651" y="2"/>
            <a:chExt cx="352" cy="107"/>
          </a:xfrm>
        </xdr:grpSpPr>
        <xdr:grpSp>
          <xdr:nvGrpSpPr>
            <xdr:cNvPr id="3338" name="Group 14">
              <a:extLst>
                <a:ext uri="{FF2B5EF4-FFF2-40B4-BE49-F238E27FC236}">
                  <a16:creationId xmlns:a16="http://schemas.microsoft.com/office/drawing/2014/main" id="{08C64229-5946-61D1-6266-04DA26E6241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24" y="2"/>
              <a:ext cx="79" cy="107"/>
              <a:chOff x="1010" y="10"/>
              <a:chExt cx="79" cy="107"/>
            </a:xfrm>
          </xdr:grpSpPr>
          <xdr:sp macro="" textlink="">
            <xdr:nvSpPr>
              <xdr:cNvPr id="3345" name="Rectangle 20">
                <a:extLst>
                  <a:ext uri="{FF2B5EF4-FFF2-40B4-BE49-F238E27FC236}">
                    <a16:creationId xmlns:a16="http://schemas.microsoft.com/office/drawing/2014/main" id="{51144973-EBDB-0EFA-8CF6-788BF4C8BBF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10" y="15"/>
                <a:ext cx="79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6" name="Text Box 21">
                <a:extLst>
                  <a:ext uri="{FF2B5EF4-FFF2-40B4-BE49-F238E27FC236}">
                    <a16:creationId xmlns:a16="http://schemas.microsoft.com/office/drawing/2014/main" id="{CD39504C-9DA1-18E9-AC8B-E66B7467912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014" y="10"/>
                <a:ext cx="71" cy="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FreesiaUPC" panose="020B0604020202020204" pitchFamily="34" charset="-34"/>
                    <a:cs typeface="FreesiaUPC" panose="020B0604020202020204" pitchFamily="34" charset="-34"/>
                  </a:rPr>
                  <a:t>S/T DDEM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  <xdr:sp macro="" textlink="">
            <xdr:nvSpPr>
              <xdr:cNvPr id="3347" name="Line 26">
                <a:extLst>
                  <a:ext uri="{FF2B5EF4-FFF2-40B4-BE49-F238E27FC236}">
                    <a16:creationId xmlns:a16="http://schemas.microsoft.com/office/drawing/2014/main" id="{B9B7A6DF-9F7A-CD02-2431-00A50D03AE1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011" y="41"/>
                <a:ext cx="7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3339" name="Group 18">
              <a:extLst>
                <a:ext uri="{FF2B5EF4-FFF2-40B4-BE49-F238E27FC236}">
                  <a16:creationId xmlns:a16="http://schemas.microsoft.com/office/drawing/2014/main" id="{41D951F2-E805-1A7F-0227-7701D3CB91D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1" y="2"/>
              <a:ext cx="238" cy="107"/>
              <a:chOff x="149" y="28"/>
              <a:chExt cx="238" cy="107"/>
            </a:xfrm>
          </xdr:grpSpPr>
          <xdr:sp macro="" textlink="">
            <xdr:nvSpPr>
              <xdr:cNvPr id="3340" name="Rectangle 45">
                <a:extLst>
                  <a:ext uri="{FF2B5EF4-FFF2-40B4-BE49-F238E27FC236}">
                    <a16:creationId xmlns:a16="http://schemas.microsoft.com/office/drawing/2014/main" id="{361CC62E-2AEA-F47C-9053-132AD640608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7" y="33"/>
                <a:ext cx="80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341" name="Rectangle 44">
                <a:extLst>
                  <a:ext uri="{FF2B5EF4-FFF2-40B4-BE49-F238E27FC236}">
                    <a16:creationId xmlns:a16="http://schemas.microsoft.com/office/drawing/2014/main" id="{AE455FDB-8C9C-3495-49C6-42BD9EBF486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8" y="33"/>
                <a:ext cx="79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" name="Text Box 46">
                <a:extLst>
                  <a:ext uri="{FF2B5EF4-FFF2-40B4-BE49-F238E27FC236}">
                    <a16:creationId xmlns:a16="http://schemas.microsoft.com/office/drawing/2014/main" id="{8EF59006-6AA3-7D37-E244-918F6428BAD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38" y="28"/>
                <a:ext cx="63" cy="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FreesiaUPC" panose="020B0604020202020204" pitchFamily="34" charset="-34"/>
                    <a:cs typeface="FreesiaUPC" panose="020B0604020202020204" pitchFamily="34" charset="-34"/>
                  </a:rPr>
                  <a:t>TMA SEM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  <xdr:sp macro="" textlink="">
            <xdr:nvSpPr>
              <xdr:cNvPr id="3343" name="Line 48">
                <a:extLst>
                  <a:ext uri="{FF2B5EF4-FFF2-40B4-BE49-F238E27FC236}">
                    <a16:creationId xmlns:a16="http://schemas.microsoft.com/office/drawing/2014/main" id="{50095F35-2A4E-2330-0A46-5A9F8172CE8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149" y="59"/>
                <a:ext cx="23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" name="Text Box 46">
                <a:extLst>
                  <a:ext uri="{FF2B5EF4-FFF2-40B4-BE49-F238E27FC236}">
                    <a16:creationId xmlns:a16="http://schemas.microsoft.com/office/drawing/2014/main" id="{DDD2908C-6C33-C888-E672-5D9CD05AB50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57" y="28"/>
                <a:ext cx="72" cy="3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FreesiaUPC" panose="020B0604020202020204" pitchFamily="34" charset="-34"/>
                    <a:cs typeface="FreesiaUPC" panose="020B0604020202020204" pitchFamily="34" charset="-34"/>
                  </a:rPr>
                  <a:t>MTM DEM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</xdr:grpSp>
      </xdr:grpSp>
    </xdr:grpSp>
    <xdr:clientData/>
  </xdr:twoCellAnchor>
  <xdr:twoCellAnchor>
    <xdr:from>
      <xdr:col>8</xdr:col>
      <xdr:colOff>553310</xdr:colOff>
      <xdr:row>0</xdr:row>
      <xdr:rowOff>5558</xdr:rowOff>
    </xdr:from>
    <xdr:to>
      <xdr:col>8</xdr:col>
      <xdr:colOff>1139700</xdr:colOff>
      <xdr:row>0</xdr:row>
      <xdr:rowOff>307838</xdr:rowOff>
    </xdr:to>
    <xdr:sp macro="" textlink="">
      <xdr:nvSpPr>
        <xdr:cNvPr id="30" name="Text Box 46">
          <a:extLst>
            <a:ext uri="{FF2B5EF4-FFF2-40B4-BE49-F238E27FC236}">
              <a16:creationId xmlns:a16="http://schemas.microsoft.com/office/drawing/2014/main" id="{CC1E0D63-BB53-0702-30ED-4F0342FE4F5E}"/>
            </a:ext>
          </a:extLst>
        </xdr:cNvPr>
        <xdr:cNvSpPr txBox="1">
          <a:spLocks noChangeArrowheads="1"/>
        </xdr:cNvSpPr>
      </xdr:nvSpPr>
      <xdr:spPr bwMode="auto">
        <a:xfrm>
          <a:off x="8662016" y="5558"/>
          <a:ext cx="671511" cy="3022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8</xdr:col>
      <xdr:colOff>1165747</xdr:colOff>
      <xdr:row>0</xdr:row>
      <xdr:rowOff>491777</xdr:rowOff>
    </xdr:from>
    <xdr:to>
      <xdr:col>9</xdr:col>
      <xdr:colOff>216765</xdr:colOff>
      <xdr:row>0</xdr:row>
      <xdr:rowOff>491777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D30978A-7208-9887-30C8-A635F59A6701}"/>
            </a:ext>
          </a:extLst>
        </xdr:cNvPr>
        <xdr:cNvCxnSpPr>
          <a:stCxn id="3345" idx="1"/>
          <a:endCxn id="3340" idx="3"/>
        </xdr:cNvCxnSpPr>
      </xdr:nvCxnSpPr>
      <xdr:spPr>
        <a:xfrm flipH="1">
          <a:off x="8741849" y="491777"/>
          <a:ext cx="367841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view="pageLayout" topLeftCell="A27" zoomScaleNormal="115" zoomScaleSheetLayoutView="130" workbookViewId="0">
      <selection activeCell="M42" sqref="M42"/>
    </sheetView>
  </sheetViews>
  <sheetFormatPr defaultRowHeight="18.75" customHeight="1" x14ac:dyDescent="0.35"/>
  <cols>
    <col min="1" max="1" width="4.28515625" style="18" customWidth="1"/>
    <col min="2" max="2" width="5.42578125" style="18" customWidth="1"/>
    <col min="3" max="3" width="24.140625" style="18" customWidth="1"/>
    <col min="4" max="4" width="4.28515625" style="18" customWidth="1"/>
    <col min="5" max="5" width="10.7109375" style="18" customWidth="1"/>
    <col min="6" max="6" width="11.42578125" style="18" customWidth="1"/>
    <col min="7" max="7" width="25.42578125" style="18" customWidth="1"/>
    <col min="8" max="8" width="19.7109375" style="18" customWidth="1"/>
    <col min="9" max="9" width="20.7109375" style="18" customWidth="1"/>
    <col min="10" max="10" width="6.140625" style="72" customWidth="1"/>
    <col min="11" max="12" width="3.5703125" style="18" customWidth="1"/>
    <col min="13" max="13" width="4.28515625" style="18" customWidth="1"/>
    <col min="14" max="14" width="7.28515625" style="18" customWidth="1"/>
    <col min="15" max="16384" width="9.140625" style="18"/>
  </cols>
  <sheetData>
    <row r="1" spans="1:13" ht="90.75" customHeight="1" x14ac:dyDescent="0.35">
      <c r="A1" s="28" t="s">
        <v>68</v>
      </c>
    </row>
    <row r="2" spans="1:13" ht="18.75" customHeight="1" x14ac:dyDescent="0.45">
      <c r="A2" s="96" t="s">
        <v>0</v>
      </c>
      <c r="B2" s="3" t="s">
        <v>1</v>
      </c>
      <c r="C2" s="65" t="s">
        <v>116</v>
      </c>
      <c r="D2" s="1" t="s">
        <v>2</v>
      </c>
      <c r="E2" s="1" t="s">
        <v>3</v>
      </c>
      <c r="F2" s="1" t="s">
        <v>69</v>
      </c>
      <c r="G2" s="96" t="s">
        <v>118</v>
      </c>
      <c r="H2" s="98" t="s">
        <v>119</v>
      </c>
      <c r="I2" s="57" t="s">
        <v>120</v>
      </c>
      <c r="J2" s="100" t="s">
        <v>121</v>
      </c>
      <c r="K2" s="97" t="s">
        <v>4</v>
      </c>
      <c r="L2" s="97"/>
      <c r="M2" s="58" t="s">
        <v>50</v>
      </c>
    </row>
    <row r="3" spans="1:13" ht="18.75" customHeight="1" x14ac:dyDescent="0.4">
      <c r="A3" s="96"/>
      <c r="B3" s="4" t="s">
        <v>0</v>
      </c>
      <c r="C3" s="66" t="s">
        <v>117</v>
      </c>
      <c r="D3" s="2" t="s">
        <v>5</v>
      </c>
      <c r="E3" s="2" t="s">
        <v>6</v>
      </c>
      <c r="F3" s="2" t="s">
        <v>7</v>
      </c>
      <c r="G3" s="96"/>
      <c r="H3" s="99"/>
      <c r="I3" s="91" t="s">
        <v>8</v>
      </c>
      <c r="J3" s="101"/>
      <c r="K3" s="59">
        <v>4052</v>
      </c>
      <c r="L3" s="59">
        <v>4054</v>
      </c>
      <c r="M3" s="60"/>
    </row>
    <row r="4" spans="1:13" ht="18" customHeight="1" x14ac:dyDescent="0.4">
      <c r="A4" s="56">
        <v>1</v>
      </c>
      <c r="B4" s="30">
        <v>7</v>
      </c>
      <c r="C4" s="31" t="s">
        <v>24</v>
      </c>
      <c r="D4" s="37" t="s">
        <v>83</v>
      </c>
      <c r="E4" s="32" t="s">
        <v>106</v>
      </c>
      <c r="F4" s="32" t="s">
        <v>107</v>
      </c>
      <c r="G4" s="33" t="s">
        <v>122</v>
      </c>
      <c r="H4" s="33" t="s">
        <v>170</v>
      </c>
      <c r="I4" s="31" t="s">
        <v>65</v>
      </c>
      <c r="J4" s="69">
        <v>1</v>
      </c>
      <c r="K4" s="34" t="s">
        <v>11</v>
      </c>
      <c r="L4" s="34" t="s">
        <v>11</v>
      </c>
      <c r="M4" s="29">
        <v>3</v>
      </c>
    </row>
    <row r="5" spans="1:13" ht="18" customHeight="1" x14ac:dyDescent="0.4">
      <c r="A5" s="56">
        <v>2</v>
      </c>
      <c r="B5" s="35">
        <v>10</v>
      </c>
      <c r="C5" s="36" t="s">
        <v>78</v>
      </c>
      <c r="D5" s="37" t="s">
        <v>83</v>
      </c>
      <c r="E5" s="37" t="s">
        <v>84</v>
      </c>
      <c r="F5" s="37" t="s">
        <v>107</v>
      </c>
      <c r="G5" s="38" t="s">
        <v>122</v>
      </c>
      <c r="H5" s="38" t="s">
        <v>169</v>
      </c>
      <c r="I5" s="38" t="s">
        <v>77</v>
      </c>
      <c r="J5" s="40">
        <v>1</v>
      </c>
      <c r="K5" s="34" t="s">
        <v>11</v>
      </c>
      <c r="L5" s="34" t="s">
        <v>11</v>
      </c>
      <c r="M5" s="40">
        <v>3</v>
      </c>
    </row>
    <row r="6" spans="1:13" ht="18" customHeight="1" x14ac:dyDescent="0.4">
      <c r="A6" s="56">
        <v>3</v>
      </c>
      <c r="B6" s="41">
        <v>54</v>
      </c>
      <c r="C6" s="42" t="s">
        <v>9</v>
      </c>
      <c r="D6" s="29" t="s">
        <v>83</v>
      </c>
      <c r="E6" s="43" t="s">
        <v>84</v>
      </c>
      <c r="F6" s="32" t="s">
        <v>84</v>
      </c>
      <c r="G6" s="33" t="s">
        <v>123</v>
      </c>
      <c r="H6" s="33" t="s">
        <v>127</v>
      </c>
      <c r="I6" s="31" t="s">
        <v>63</v>
      </c>
      <c r="J6" s="69">
        <v>2</v>
      </c>
      <c r="K6" s="34" t="s">
        <v>11</v>
      </c>
      <c r="L6" s="34" t="s">
        <v>11</v>
      </c>
      <c r="M6" s="29">
        <v>3</v>
      </c>
    </row>
    <row r="7" spans="1:13" ht="18" customHeight="1" x14ac:dyDescent="0.4">
      <c r="A7" s="56">
        <v>4</v>
      </c>
      <c r="B7" s="30">
        <v>89</v>
      </c>
      <c r="C7" s="31" t="s">
        <v>89</v>
      </c>
      <c r="D7" s="29" t="s">
        <v>83</v>
      </c>
      <c r="E7" s="32" t="s">
        <v>84</v>
      </c>
      <c r="F7" s="32" t="s">
        <v>84</v>
      </c>
      <c r="G7" s="33" t="s">
        <v>124</v>
      </c>
      <c r="H7" s="33" t="s">
        <v>171</v>
      </c>
      <c r="I7" s="31" t="s">
        <v>65</v>
      </c>
      <c r="J7" s="69">
        <v>1</v>
      </c>
      <c r="K7" s="34" t="s">
        <v>11</v>
      </c>
      <c r="L7" s="34" t="s">
        <v>11</v>
      </c>
      <c r="M7" s="29">
        <v>3</v>
      </c>
    </row>
    <row r="8" spans="1:13" ht="18" customHeight="1" x14ac:dyDescent="0.4">
      <c r="A8" s="56">
        <v>5</v>
      </c>
      <c r="B8" s="41">
        <v>119</v>
      </c>
      <c r="C8" s="44" t="s">
        <v>13</v>
      </c>
      <c r="D8" s="29" t="s">
        <v>172</v>
      </c>
      <c r="E8" s="32" t="s">
        <v>91</v>
      </c>
      <c r="F8" s="32" t="s">
        <v>100</v>
      </c>
      <c r="G8" s="33" t="s">
        <v>125</v>
      </c>
      <c r="H8" s="33" t="s">
        <v>126</v>
      </c>
      <c r="I8" s="31" t="s">
        <v>54</v>
      </c>
      <c r="J8" s="69">
        <v>1</v>
      </c>
      <c r="K8" s="34" t="s">
        <v>11</v>
      </c>
      <c r="L8" s="34" t="s">
        <v>11</v>
      </c>
      <c r="M8" s="29">
        <v>2</v>
      </c>
    </row>
    <row r="9" spans="1:13" ht="18" customHeight="1" x14ac:dyDescent="0.4">
      <c r="A9" s="56">
        <v>6</v>
      </c>
      <c r="B9" s="41">
        <v>154</v>
      </c>
      <c r="C9" s="94" t="s">
        <v>185</v>
      </c>
      <c r="D9" s="29" t="s">
        <v>83</v>
      </c>
      <c r="E9" s="32" t="s">
        <v>106</v>
      </c>
      <c r="F9" s="32" t="s">
        <v>184</v>
      </c>
      <c r="G9" s="33" t="s">
        <v>186</v>
      </c>
      <c r="H9" s="33" t="s">
        <v>187</v>
      </c>
      <c r="I9" s="31" t="s">
        <v>188</v>
      </c>
      <c r="J9" s="69">
        <v>1</v>
      </c>
      <c r="K9" s="34" t="s">
        <v>11</v>
      </c>
      <c r="L9" s="34" t="s">
        <v>11</v>
      </c>
      <c r="M9" s="29">
        <v>3</v>
      </c>
    </row>
    <row r="10" spans="1:13" ht="18" customHeight="1" x14ac:dyDescent="0.4">
      <c r="A10" s="56">
        <v>7</v>
      </c>
      <c r="B10" s="45">
        <v>218</v>
      </c>
      <c r="C10" s="42" t="s">
        <v>12</v>
      </c>
      <c r="D10" s="37" t="s">
        <v>10</v>
      </c>
      <c r="E10" s="46" t="s">
        <v>96</v>
      </c>
      <c r="F10" s="37" t="s">
        <v>97</v>
      </c>
      <c r="G10" s="38" t="s">
        <v>128</v>
      </c>
      <c r="H10" s="38" t="s">
        <v>127</v>
      </c>
      <c r="I10" s="38" t="s">
        <v>52</v>
      </c>
      <c r="J10" s="40">
        <v>1</v>
      </c>
      <c r="K10" s="47" t="s">
        <v>11</v>
      </c>
      <c r="L10" s="47" t="s">
        <v>11</v>
      </c>
      <c r="M10" s="37">
        <v>3</v>
      </c>
    </row>
    <row r="11" spans="1:13" ht="18" customHeight="1" x14ac:dyDescent="0.4">
      <c r="A11" s="56">
        <v>8</v>
      </c>
      <c r="B11" s="48">
        <v>243</v>
      </c>
      <c r="C11" s="31" t="s">
        <v>51</v>
      </c>
      <c r="D11" s="29" t="s">
        <v>10</v>
      </c>
      <c r="E11" s="32" t="s">
        <v>94</v>
      </c>
      <c r="F11" s="32" t="s">
        <v>95</v>
      </c>
      <c r="G11" s="33" t="s">
        <v>130</v>
      </c>
      <c r="H11" s="33" t="s">
        <v>129</v>
      </c>
      <c r="I11" s="31" t="s">
        <v>34</v>
      </c>
      <c r="J11" s="69">
        <v>1</v>
      </c>
      <c r="K11" s="34" t="s">
        <v>11</v>
      </c>
      <c r="L11" s="34" t="s">
        <v>11</v>
      </c>
      <c r="M11" s="29">
        <v>3</v>
      </c>
    </row>
    <row r="12" spans="1:13" ht="18" customHeight="1" x14ac:dyDescent="0.4">
      <c r="A12" s="56">
        <v>9</v>
      </c>
      <c r="B12" s="75">
        <v>245</v>
      </c>
      <c r="C12" s="76" t="s">
        <v>173</v>
      </c>
      <c r="D12" s="73" t="s">
        <v>83</v>
      </c>
      <c r="E12" s="78" t="s">
        <v>106</v>
      </c>
      <c r="F12" s="78" t="s">
        <v>174</v>
      </c>
      <c r="G12" s="78" t="s">
        <v>175</v>
      </c>
      <c r="H12" s="78" t="s">
        <v>169</v>
      </c>
      <c r="I12" s="38" t="s">
        <v>53</v>
      </c>
      <c r="J12" s="73">
        <v>1</v>
      </c>
      <c r="K12" s="34" t="s">
        <v>11</v>
      </c>
      <c r="L12" s="34" t="s">
        <v>11</v>
      </c>
      <c r="M12" s="73">
        <v>8</v>
      </c>
    </row>
    <row r="13" spans="1:13" s="77" customFormat="1" ht="18" customHeight="1" x14ac:dyDescent="0.4">
      <c r="A13" s="56">
        <v>10</v>
      </c>
      <c r="B13" s="75">
        <v>266</v>
      </c>
      <c r="C13" s="76" t="s">
        <v>161</v>
      </c>
      <c r="D13" s="73" t="s">
        <v>10</v>
      </c>
      <c r="E13" s="73" t="s">
        <v>162</v>
      </c>
      <c r="F13" s="73" t="s">
        <v>163</v>
      </c>
      <c r="G13" s="79" t="s">
        <v>164</v>
      </c>
      <c r="H13" s="79" t="s">
        <v>129</v>
      </c>
      <c r="I13" s="78" t="s">
        <v>165</v>
      </c>
      <c r="J13" s="73">
        <v>1</v>
      </c>
      <c r="K13" s="34" t="s">
        <v>11</v>
      </c>
      <c r="L13" s="34" t="s">
        <v>11</v>
      </c>
      <c r="M13" s="73">
        <v>3</v>
      </c>
    </row>
    <row r="14" spans="1:13" ht="18" customHeight="1" x14ac:dyDescent="0.4">
      <c r="A14" s="56">
        <v>11</v>
      </c>
      <c r="B14" s="48">
        <v>275</v>
      </c>
      <c r="C14" s="31" t="s">
        <v>26</v>
      </c>
      <c r="D14" s="37" t="s">
        <v>83</v>
      </c>
      <c r="E14" s="32" t="s">
        <v>106</v>
      </c>
      <c r="F14" s="32" t="s">
        <v>107</v>
      </c>
      <c r="G14" s="33" t="s">
        <v>124</v>
      </c>
      <c r="H14" s="33" t="s">
        <v>127</v>
      </c>
      <c r="I14" s="31" t="s">
        <v>25</v>
      </c>
      <c r="J14" s="69">
        <v>1</v>
      </c>
      <c r="K14" s="34" t="s">
        <v>11</v>
      </c>
      <c r="L14" s="34" t="s">
        <v>11</v>
      </c>
      <c r="M14" s="29">
        <v>3</v>
      </c>
    </row>
    <row r="15" spans="1:13" ht="18" customHeight="1" x14ac:dyDescent="0.4">
      <c r="A15" s="56">
        <v>12</v>
      </c>
      <c r="B15" s="29">
        <v>296</v>
      </c>
      <c r="C15" s="36" t="s">
        <v>85</v>
      </c>
      <c r="D15" s="29" t="s">
        <v>83</v>
      </c>
      <c r="E15" s="32" t="s">
        <v>84</v>
      </c>
      <c r="F15" s="32" t="s">
        <v>84</v>
      </c>
      <c r="G15" s="33" t="s">
        <v>131</v>
      </c>
      <c r="H15" s="33" t="s">
        <v>132</v>
      </c>
      <c r="I15" s="31" t="s">
        <v>55</v>
      </c>
      <c r="J15" s="69">
        <v>1</v>
      </c>
      <c r="K15" s="34" t="s">
        <v>11</v>
      </c>
      <c r="L15" s="34" t="s">
        <v>11</v>
      </c>
      <c r="M15" s="29">
        <v>5</v>
      </c>
    </row>
    <row r="16" spans="1:13" ht="18" customHeight="1" x14ac:dyDescent="0.4">
      <c r="A16" s="56">
        <v>13</v>
      </c>
      <c r="B16" s="41">
        <v>297</v>
      </c>
      <c r="C16" s="44" t="s">
        <v>14</v>
      </c>
      <c r="D16" s="29" t="s">
        <v>10</v>
      </c>
      <c r="E16" s="32" t="s">
        <v>93</v>
      </c>
      <c r="F16" s="32" t="s">
        <v>92</v>
      </c>
      <c r="G16" s="33" t="s">
        <v>133</v>
      </c>
      <c r="H16" s="33" t="s">
        <v>132</v>
      </c>
      <c r="I16" s="31" t="s">
        <v>15</v>
      </c>
      <c r="J16" s="69">
        <v>1</v>
      </c>
      <c r="K16" s="34" t="s">
        <v>11</v>
      </c>
      <c r="L16" s="34" t="s">
        <v>11</v>
      </c>
      <c r="M16" s="29">
        <v>9</v>
      </c>
    </row>
    <row r="17" spans="1:13" ht="18" customHeight="1" x14ac:dyDescent="0.4">
      <c r="A17" s="56">
        <v>14</v>
      </c>
      <c r="B17" s="41">
        <v>299</v>
      </c>
      <c r="C17" s="44" t="s">
        <v>56</v>
      </c>
      <c r="D17" s="29" t="s">
        <v>83</v>
      </c>
      <c r="E17" s="32" t="s">
        <v>84</v>
      </c>
      <c r="F17" s="32" t="s">
        <v>84</v>
      </c>
      <c r="G17" s="33" t="s">
        <v>135</v>
      </c>
      <c r="H17" s="33" t="s">
        <v>134</v>
      </c>
      <c r="I17" s="31" t="s">
        <v>58</v>
      </c>
      <c r="J17" s="69">
        <v>1</v>
      </c>
      <c r="K17" s="34" t="s">
        <v>11</v>
      </c>
      <c r="L17" s="34" t="s">
        <v>11</v>
      </c>
      <c r="M17" s="29">
        <v>3</v>
      </c>
    </row>
    <row r="18" spans="1:13" ht="18" customHeight="1" x14ac:dyDescent="0.4">
      <c r="A18" s="56">
        <v>15</v>
      </c>
      <c r="B18" s="41">
        <v>300</v>
      </c>
      <c r="C18" s="44" t="s">
        <v>57</v>
      </c>
      <c r="D18" s="29" t="s">
        <v>83</v>
      </c>
      <c r="E18" s="32" t="s">
        <v>84</v>
      </c>
      <c r="F18" s="32" t="s">
        <v>84</v>
      </c>
      <c r="G18" s="33" t="s">
        <v>135</v>
      </c>
      <c r="H18" s="33" t="s">
        <v>134</v>
      </c>
      <c r="I18" s="31" t="s">
        <v>58</v>
      </c>
      <c r="J18" s="69">
        <v>1</v>
      </c>
      <c r="K18" s="34" t="s">
        <v>11</v>
      </c>
      <c r="L18" s="34" t="s">
        <v>11</v>
      </c>
      <c r="M18" s="29">
        <v>3</v>
      </c>
    </row>
    <row r="19" spans="1:13" ht="18" customHeight="1" x14ac:dyDescent="0.4">
      <c r="A19" s="56">
        <v>16</v>
      </c>
      <c r="B19" s="41">
        <v>305</v>
      </c>
      <c r="C19" s="44" t="s">
        <v>16</v>
      </c>
      <c r="D19" s="29" t="s">
        <v>83</v>
      </c>
      <c r="E19" s="32" t="s">
        <v>84</v>
      </c>
      <c r="F19" s="32" t="s">
        <v>84</v>
      </c>
      <c r="G19" s="44" t="s">
        <v>137</v>
      </c>
      <c r="H19" s="44" t="s">
        <v>136</v>
      </c>
      <c r="I19" s="31" t="s">
        <v>64</v>
      </c>
      <c r="J19" s="69">
        <v>1</v>
      </c>
      <c r="K19" s="34" t="s">
        <v>11</v>
      </c>
      <c r="L19" s="34" t="s">
        <v>11</v>
      </c>
      <c r="M19" s="29">
        <v>8</v>
      </c>
    </row>
    <row r="20" spans="1:13" ht="18" customHeight="1" x14ac:dyDescent="0.4">
      <c r="A20" s="56">
        <v>17</v>
      </c>
      <c r="B20" s="48">
        <v>309</v>
      </c>
      <c r="C20" s="31" t="s">
        <v>86</v>
      </c>
      <c r="D20" s="29" t="s">
        <v>83</v>
      </c>
      <c r="E20" s="32" t="s">
        <v>84</v>
      </c>
      <c r="F20" s="32" t="s">
        <v>84</v>
      </c>
      <c r="G20" s="33" t="s">
        <v>138</v>
      </c>
      <c r="H20" s="33" t="s">
        <v>153</v>
      </c>
      <c r="I20" s="31" t="s">
        <v>59</v>
      </c>
      <c r="J20" s="69">
        <v>1</v>
      </c>
      <c r="K20" s="34" t="s">
        <v>11</v>
      </c>
      <c r="L20" s="34" t="s">
        <v>11</v>
      </c>
      <c r="M20" s="29">
        <v>9</v>
      </c>
    </row>
    <row r="21" spans="1:13" ht="18" customHeight="1" x14ac:dyDescent="0.4">
      <c r="A21" s="56">
        <v>18</v>
      </c>
      <c r="B21" s="48">
        <v>310</v>
      </c>
      <c r="C21" s="31" t="s">
        <v>17</v>
      </c>
      <c r="D21" s="29" t="s">
        <v>83</v>
      </c>
      <c r="E21" s="32" t="s">
        <v>84</v>
      </c>
      <c r="F21" s="32" t="s">
        <v>84</v>
      </c>
      <c r="G21" s="33" t="s">
        <v>140</v>
      </c>
      <c r="H21" s="33" t="s">
        <v>18</v>
      </c>
      <c r="I21" s="31" t="s">
        <v>60</v>
      </c>
      <c r="J21" s="69">
        <v>1</v>
      </c>
      <c r="K21" s="34" t="s">
        <v>11</v>
      </c>
      <c r="L21" s="34" t="s">
        <v>11</v>
      </c>
      <c r="M21" s="29">
        <v>3</v>
      </c>
    </row>
    <row r="22" spans="1:13" ht="18" customHeight="1" x14ac:dyDescent="0.4">
      <c r="A22" s="56">
        <v>19</v>
      </c>
      <c r="B22" s="48">
        <v>311</v>
      </c>
      <c r="C22" s="31" t="s">
        <v>87</v>
      </c>
      <c r="D22" s="29" t="s">
        <v>83</v>
      </c>
      <c r="E22" s="32" t="s">
        <v>84</v>
      </c>
      <c r="F22" s="32" t="s">
        <v>84</v>
      </c>
      <c r="G22" s="33" t="s">
        <v>141</v>
      </c>
      <c r="H22" s="33" t="s">
        <v>19</v>
      </c>
      <c r="I22" s="31" t="s">
        <v>61</v>
      </c>
      <c r="J22" s="69">
        <v>1</v>
      </c>
      <c r="K22" s="34" t="s">
        <v>11</v>
      </c>
      <c r="L22" s="34" t="s">
        <v>11</v>
      </c>
      <c r="M22" s="29">
        <v>9</v>
      </c>
    </row>
    <row r="23" spans="1:13" ht="18" customHeight="1" x14ac:dyDescent="0.4">
      <c r="A23" s="56">
        <v>20</v>
      </c>
      <c r="B23" s="48">
        <v>312</v>
      </c>
      <c r="C23" s="36" t="s">
        <v>22</v>
      </c>
      <c r="D23" s="29" t="s">
        <v>83</v>
      </c>
      <c r="E23" s="32" t="s">
        <v>84</v>
      </c>
      <c r="F23" s="32" t="s">
        <v>84</v>
      </c>
      <c r="G23" s="38" t="s">
        <v>142</v>
      </c>
      <c r="H23" s="38" t="s">
        <v>19</v>
      </c>
      <c r="I23" s="38" t="s">
        <v>53</v>
      </c>
      <c r="J23" s="40">
        <v>1</v>
      </c>
      <c r="K23" s="49" t="s">
        <v>11</v>
      </c>
      <c r="L23" s="49" t="s">
        <v>11</v>
      </c>
      <c r="M23" s="37">
        <v>3</v>
      </c>
    </row>
    <row r="24" spans="1:13" ht="18" customHeight="1" x14ac:dyDescent="0.4">
      <c r="A24" s="56">
        <v>21</v>
      </c>
      <c r="B24" s="48">
        <v>313</v>
      </c>
      <c r="C24" s="31" t="s">
        <v>23</v>
      </c>
      <c r="D24" s="29" t="s">
        <v>83</v>
      </c>
      <c r="E24" s="32" t="s">
        <v>84</v>
      </c>
      <c r="F24" s="32" t="s">
        <v>84</v>
      </c>
      <c r="G24" s="38" t="s">
        <v>142</v>
      </c>
      <c r="H24" s="33" t="s">
        <v>139</v>
      </c>
      <c r="I24" s="31" t="s">
        <v>62</v>
      </c>
      <c r="J24" s="69">
        <v>1</v>
      </c>
      <c r="K24" s="34" t="s">
        <v>11</v>
      </c>
      <c r="L24" s="34" t="s">
        <v>11</v>
      </c>
      <c r="M24" s="29">
        <v>3</v>
      </c>
    </row>
    <row r="25" spans="1:13" ht="18" customHeight="1" x14ac:dyDescent="0.4">
      <c r="A25" s="56">
        <v>22</v>
      </c>
      <c r="B25" s="48">
        <v>314</v>
      </c>
      <c r="C25" s="31" t="s">
        <v>88</v>
      </c>
      <c r="D25" s="29" t="s">
        <v>83</v>
      </c>
      <c r="E25" s="32" t="s">
        <v>84</v>
      </c>
      <c r="F25" s="32" t="s">
        <v>84</v>
      </c>
      <c r="G25" s="33" t="s">
        <v>140</v>
      </c>
      <c r="H25" s="33" t="s">
        <v>20</v>
      </c>
      <c r="I25" s="31" t="s">
        <v>54</v>
      </c>
      <c r="J25" s="69">
        <v>1</v>
      </c>
      <c r="K25" s="34" t="s">
        <v>11</v>
      </c>
      <c r="L25" s="34" t="s">
        <v>11</v>
      </c>
      <c r="M25" s="29">
        <v>3</v>
      </c>
    </row>
    <row r="26" spans="1:13" ht="18" customHeight="1" x14ac:dyDescent="0.4">
      <c r="A26" s="56">
        <v>23</v>
      </c>
      <c r="B26" s="48">
        <v>323</v>
      </c>
      <c r="C26" s="31" t="s">
        <v>21</v>
      </c>
      <c r="D26" s="29" t="s">
        <v>83</v>
      </c>
      <c r="E26" s="32" t="s">
        <v>84</v>
      </c>
      <c r="F26" s="32" t="s">
        <v>84</v>
      </c>
      <c r="G26" s="33" t="s">
        <v>143</v>
      </c>
      <c r="H26" s="33" t="s">
        <v>19</v>
      </c>
      <c r="I26" s="31" t="s">
        <v>53</v>
      </c>
      <c r="J26" s="69">
        <v>1</v>
      </c>
      <c r="K26" s="34" t="s">
        <v>11</v>
      </c>
      <c r="L26" s="34" t="s">
        <v>11</v>
      </c>
      <c r="M26" s="29">
        <v>3</v>
      </c>
    </row>
    <row r="27" spans="1:13" ht="18" customHeight="1" x14ac:dyDescent="0.4">
      <c r="A27" s="56">
        <v>24</v>
      </c>
      <c r="B27" s="48">
        <v>340</v>
      </c>
      <c r="C27" s="31" t="s">
        <v>28</v>
      </c>
      <c r="D27" s="29" t="s">
        <v>83</v>
      </c>
      <c r="E27" s="32" t="s">
        <v>84</v>
      </c>
      <c r="F27" s="32" t="s">
        <v>84</v>
      </c>
      <c r="G27" s="33" t="s">
        <v>144</v>
      </c>
      <c r="H27" s="33" t="s">
        <v>145</v>
      </c>
      <c r="I27" s="31" t="s">
        <v>29</v>
      </c>
      <c r="J27" s="69">
        <v>1</v>
      </c>
      <c r="K27" s="34" t="s">
        <v>11</v>
      </c>
      <c r="L27" s="34" t="s">
        <v>30</v>
      </c>
      <c r="M27" s="29">
        <v>9</v>
      </c>
    </row>
    <row r="28" spans="1:13" ht="18" customHeight="1" x14ac:dyDescent="0.4">
      <c r="A28" s="56">
        <v>25</v>
      </c>
      <c r="B28" s="48">
        <v>355</v>
      </c>
      <c r="C28" s="31" t="s">
        <v>31</v>
      </c>
      <c r="D28" s="29" t="s">
        <v>83</v>
      </c>
      <c r="E28" s="32" t="s">
        <v>84</v>
      </c>
      <c r="F28" s="32" t="s">
        <v>84</v>
      </c>
      <c r="G28" s="33" t="s">
        <v>130</v>
      </c>
      <c r="H28" s="33" t="s">
        <v>145</v>
      </c>
      <c r="I28" s="31" t="s">
        <v>29</v>
      </c>
      <c r="J28" s="69">
        <v>1</v>
      </c>
      <c r="K28" s="34" t="s">
        <v>11</v>
      </c>
      <c r="L28" s="34" t="s">
        <v>11</v>
      </c>
      <c r="M28" s="29">
        <v>3</v>
      </c>
    </row>
    <row r="29" spans="1:13" ht="18" customHeight="1" x14ac:dyDescent="0.4">
      <c r="A29" s="56">
        <v>26</v>
      </c>
      <c r="B29" s="48">
        <v>359</v>
      </c>
      <c r="C29" s="31" t="s">
        <v>32</v>
      </c>
      <c r="D29" s="29" t="s">
        <v>83</v>
      </c>
      <c r="E29" s="32" t="s">
        <v>84</v>
      </c>
      <c r="F29" s="32" t="s">
        <v>84</v>
      </c>
      <c r="G29" s="33" t="s">
        <v>130</v>
      </c>
      <c r="H29" s="33" t="s">
        <v>145</v>
      </c>
      <c r="I29" s="31" t="s">
        <v>29</v>
      </c>
      <c r="J29" s="69">
        <v>1</v>
      </c>
      <c r="K29" s="34" t="s">
        <v>11</v>
      </c>
      <c r="L29" s="34" t="s">
        <v>11</v>
      </c>
      <c r="M29" s="29">
        <v>3</v>
      </c>
    </row>
    <row r="30" spans="1:13" ht="18" customHeight="1" x14ac:dyDescent="0.4">
      <c r="A30" s="56">
        <v>27</v>
      </c>
      <c r="B30" s="50">
        <v>361</v>
      </c>
      <c r="C30" s="51" t="s">
        <v>101</v>
      </c>
      <c r="D30" s="37" t="s">
        <v>83</v>
      </c>
      <c r="E30" s="40" t="s">
        <v>106</v>
      </c>
      <c r="F30" s="40" t="s">
        <v>107</v>
      </c>
      <c r="G30" s="52" t="s">
        <v>146</v>
      </c>
      <c r="H30" s="33" t="s">
        <v>19</v>
      </c>
      <c r="I30" s="38" t="s">
        <v>53</v>
      </c>
      <c r="J30" s="40">
        <v>1</v>
      </c>
      <c r="K30" s="34" t="s">
        <v>11</v>
      </c>
      <c r="L30" s="34" t="s">
        <v>11</v>
      </c>
      <c r="M30" s="40">
        <v>9</v>
      </c>
    </row>
    <row r="31" spans="1:13" ht="18" customHeight="1" x14ac:dyDescent="0.4">
      <c r="A31" s="56">
        <v>28</v>
      </c>
      <c r="B31" s="48">
        <v>365</v>
      </c>
      <c r="C31" s="36" t="s">
        <v>27</v>
      </c>
      <c r="D31" s="37" t="s">
        <v>10</v>
      </c>
      <c r="E31" s="37" t="s">
        <v>98</v>
      </c>
      <c r="F31" s="37" t="s">
        <v>97</v>
      </c>
      <c r="G31" s="38" t="s">
        <v>147</v>
      </c>
      <c r="H31" s="33" t="s">
        <v>19</v>
      </c>
      <c r="I31" s="38" t="s">
        <v>53</v>
      </c>
      <c r="J31" s="40">
        <v>1</v>
      </c>
      <c r="K31" s="34" t="s">
        <v>11</v>
      </c>
      <c r="L31" s="34" t="s">
        <v>11</v>
      </c>
      <c r="M31" s="37">
        <v>9</v>
      </c>
    </row>
    <row r="32" spans="1:13" ht="18" customHeight="1" x14ac:dyDescent="0.4">
      <c r="A32" s="56">
        <v>29</v>
      </c>
      <c r="B32" s="48">
        <v>370</v>
      </c>
      <c r="C32" s="31" t="s">
        <v>33</v>
      </c>
      <c r="D32" s="29" t="s">
        <v>83</v>
      </c>
      <c r="E32" s="32" t="s">
        <v>84</v>
      </c>
      <c r="F32" s="32" t="s">
        <v>84</v>
      </c>
      <c r="G32" s="33" t="s">
        <v>148</v>
      </c>
      <c r="H32" s="33" t="s">
        <v>127</v>
      </c>
      <c r="I32" s="31" t="s">
        <v>25</v>
      </c>
      <c r="J32" s="69">
        <v>1</v>
      </c>
      <c r="K32" s="34" t="s">
        <v>11</v>
      </c>
      <c r="L32" s="34" t="s">
        <v>11</v>
      </c>
      <c r="M32" s="29">
        <v>9</v>
      </c>
    </row>
    <row r="33" spans="1:13" ht="18" customHeight="1" x14ac:dyDescent="0.4">
      <c r="A33" s="56">
        <v>30</v>
      </c>
      <c r="B33" s="53">
        <v>380</v>
      </c>
      <c r="C33" s="36" t="s">
        <v>90</v>
      </c>
      <c r="D33" s="29" t="s">
        <v>83</v>
      </c>
      <c r="E33" s="32" t="s">
        <v>84</v>
      </c>
      <c r="F33" s="32" t="s">
        <v>84</v>
      </c>
      <c r="G33" s="38" t="s">
        <v>143</v>
      </c>
      <c r="H33" s="38" t="s">
        <v>18</v>
      </c>
      <c r="I33" s="38" t="s">
        <v>77</v>
      </c>
      <c r="J33" s="40">
        <v>1</v>
      </c>
      <c r="K33" s="34" t="s">
        <v>11</v>
      </c>
      <c r="L33" s="34" t="s">
        <v>11</v>
      </c>
      <c r="M33" s="40">
        <v>3</v>
      </c>
    </row>
    <row r="34" spans="1:13" ht="18" customHeight="1" x14ac:dyDescent="0.4">
      <c r="A34" s="56">
        <v>31</v>
      </c>
      <c r="B34" s="53">
        <v>391</v>
      </c>
      <c r="C34" s="93" t="s">
        <v>181</v>
      </c>
      <c r="D34" s="29" t="s">
        <v>83</v>
      </c>
      <c r="E34" s="32" t="s">
        <v>84</v>
      </c>
      <c r="F34" s="32" t="s">
        <v>184</v>
      </c>
      <c r="G34" s="38" t="s">
        <v>189</v>
      </c>
      <c r="H34" s="38" t="s">
        <v>187</v>
      </c>
      <c r="I34" s="38" t="s">
        <v>188</v>
      </c>
      <c r="J34" s="40">
        <v>1</v>
      </c>
      <c r="K34" s="34" t="s">
        <v>11</v>
      </c>
      <c r="L34" s="34" t="s">
        <v>11</v>
      </c>
      <c r="M34" s="40">
        <v>3</v>
      </c>
    </row>
    <row r="35" spans="1:13" ht="18" customHeight="1" x14ac:dyDescent="0.4">
      <c r="A35" s="56">
        <v>32</v>
      </c>
      <c r="B35" s="53">
        <v>392</v>
      </c>
      <c r="C35" s="93" t="s">
        <v>182</v>
      </c>
      <c r="D35" s="29" t="s">
        <v>83</v>
      </c>
      <c r="E35" s="32" t="s">
        <v>84</v>
      </c>
      <c r="F35" s="32" t="s">
        <v>184</v>
      </c>
      <c r="G35" s="38" t="s">
        <v>190</v>
      </c>
      <c r="H35" s="38" t="s">
        <v>187</v>
      </c>
      <c r="I35" s="38" t="s">
        <v>188</v>
      </c>
      <c r="J35" s="40">
        <v>1</v>
      </c>
      <c r="K35" s="34" t="s">
        <v>11</v>
      </c>
      <c r="L35" s="34" t="s">
        <v>11</v>
      </c>
      <c r="M35" s="40">
        <v>3</v>
      </c>
    </row>
    <row r="36" spans="1:13" ht="18" customHeight="1" x14ac:dyDescent="0.4">
      <c r="A36" s="56">
        <v>33</v>
      </c>
      <c r="B36" s="53">
        <v>393</v>
      </c>
      <c r="C36" s="93" t="s">
        <v>183</v>
      </c>
      <c r="D36" s="29" t="s">
        <v>83</v>
      </c>
      <c r="E36" s="32" t="s">
        <v>84</v>
      </c>
      <c r="F36" s="32" t="s">
        <v>184</v>
      </c>
      <c r="G36" s="38" t="s">
        <v>191</v>
      </c>
      <c r="H36" s="38" t="s">
        <v>187</v>
      </c>
      <c r="I36" s="38" t="s">
        <v>188</v>
      </c>
      <c r="J36" s="40">
        <v>1</v>
      </c>
      <c r="K36" s="34" t="s">
        <v>11</v>
      </c>
      <c r="L36" s="34" t="s">
        <v>11</v>
      </c>
      <c r="M36" s="40">
        <v>3</v>
      </c>
    </row>
    <row r="37" spans="1:13" s="77" customFormat="1" ht="18" customHeight="1" x14ac:dyDescent="0.4">
      <c r="A37" s="56">
        <v>34</v>
      </c>
      <c r="B37" s="50">
        <v>420</v>
      </c>
      <c r="C37" s="90" t="s">
        <v>157</v>
      </c>
      <c r="D37" s="37" t="s">
        <v>83</v>
      </c>
      <c r="E37" s="40" t="s">
        <v>159</v>
      </c>
      <c r="F37" s="40" t="s">
        <v>174</v>
      </c>
      <c r="G37" s="52" t="s">
        <v>155</v>
      </c>
      <c r="H37" s="52" t="s">
        <v>149</v>
      </c>
      <c r="I37" s="39" t="s">
        <v>71</v>
      </c>
      <c r="J37" s="80" t="s">
        <v>166</v>
      </c>
      <c r="K37" s="34" t="s">
        <v>11</v>
      </c>
      <c r="L37" s="34" t="s">
        <v>11</v>
      </c>
      <c r="M37" s="80" t="s">
        <v>167</v>
      </c>
    </row>
    <row r="38" spans="1:13" ht="18" customHeight="1" x14ac:dyDescent="0.4">
      <c r="A38" s="56">
        <v>35</v>
      </c>
      <c r="B38" s="53">
        <v>461</v>
      </c>
      <c r="C38" s="36" t="s">
        <v>73</v>
      </c>
      <c r="D38" s="37" t="s">
        <v>83</v>
      </c>
      <c r="E38" s="37" t="s">
        <v>106</v>
      </c>
      <c r="F38" s="37" t="s">
        <v>107</v>
      </c>
      <c r="G38" s="38" t="s">
        <v>151</v>
      </c>
      <c r="H38" s="38" t="s">
        <v>127</v>
      </c>
      <c r="I38" s="38" t="s">
        <v>52</v>
      </c>
      <c r="J38" s="40">
        <v>1</v>
      </c>
      <c r="K38" s="34" t="s">
        <v>11</v>
      </c>
      <c r="L38" s="34" t="s">
        <v>11</v>
      </c>
      <c r="M38" s="40">
        <v>9</v>
      </c>
    </row>
    <row r="39" spans="1:13" ht="18" customHeight="1" x14ac:dyDescent="0.4">
      <c r="A39" s="56">
        <v>36</v>
      </c>
      <c r="B39" s="53">
        <v>465</v>
      </c>
      <c r="C39" s="36" t="s">
        <v>70</v>
      </c>
      <c r="D39" s="37" t="s">
        <v>83</v>
      </c>
      <c r="E39" s="37" t="s">
        <v>106</v>
      </c>
      <c r="F39" s="37" t="s">
        <v>107</v>
      </c>
      <c r="G39" s="38" t="s">
        <v>130</v>
      </c>
      <c r="H39" s="38" t="s">
        <v>149</v>
      </c>
      <c r="I39" s="39" t="s">
        <v>71</v>
      </c>
      <c r="J39" s="40">
        <v>1</v>
      </c>
      <c r="K39" s="34" t="s">
        <v>11</v>
      </c>
      <c r="L39" s="34" t="s">
        <v>11</v>
      </c>
      <c r="M39" s="40">
        <v>9</v>
      </c>
    </row>
    <row r="40" spans="1:13" ht="18" customHeight="1" x14ac:dyDescent="0.4">
      <c r="A40" s="56">
        <v>37</v>
      </c>
      <c r="B40" s="53">
        <v>492</v>
      </c>
      <c r="C40" s="36" t="s">
        <v>176</v>
      </c>
      <c r="D40" s="37" t="s">
        <v>83</v>
      </c>
      <c r="E40" s="37" t="s">
        <v>84</v>
      </c>
      <c r="F40" s="37" t="s">
        <v>177</v>
      </c>
      <c r="G40" s="38" t="s">
        <v>178</v>
      </c>
      <c r="H40" s="38" t="s">
        <v>169</v>
      </c>
      <c r="I40" s="39" t="s">
        <v>179</v>
      </c>
      <c r="J40" s="40">
        <v>1</v>
      </c>
      <c r="K40" s="34" t="s">
        <v>11</v>
      </c>
      <c r="L40" s="34" t="s">
        <v>11</v>
      </c>
      <c r="M40" s="40">
        <v>8</v>
      </c>
    </row>
    <row r="41" spans="1:13" ht="18" customHeight="1" x14ac:dyDescent="0.4">
      <c r="A41" s="56">
        <v>38</v>
      </c>
      <c r="B41" s="48">
        <v>534</v>
      </c>
      <c r="C41" s="36" t="s">
        <v>66</v>
      </c>
      <c r="D41" s="37" t="s">
        <v>83</v>
      </c>
      <c r="E41" s="37" t="s">
        <v>106</v>
      </c>
      <c r="F41" s="37" t="s">
        <v>107</v>
      </c>
      <c r="G41" s="38" t="s">
        <v>130</v>
      </c>
      <c r="H41" s="38" t="s">
        <v>149</v>
      </c>
      <c r="I41" s="38" t="s">
        <v>67</v>
      </c>
      <c r="J41" s="40">
        <v>1</v>
      </c>
      <c r="K41" s="34" t="s">
        <v>11</v>
      </c>
      <c r="L41" s="34" t="s">
        <v>11</v>
      </c>
      <c r="M41" s="37">
        <v>9</v>
      </c>
    </row>
    <row r="42" spans="1:13" ht="18" customHeight="1" x14ac:dyDescent="0.4">
      <c r="A42" s="56">
        <v>39</v>
      </c>
      <c r="B42" s="48">
        <v>536</v>
      </c>
      <c r="C42" s="92" t="s">
        <v>180</v>
      </c>
      <c r="D42" s="37" t="s">
        <v>83</v>
      </c>
      <c r="E42" s="37" t="s">
        <v>106</v>
      </c>
      <c r="F42" s="37" t="s">
        <v>177</v>
      </c>
      <c r="G42" s="38" t="s">
        <v>150</v>
      </c>
      <c r="H42" s="38" t="s">
        <v>127</v>
      </c>
      <c r="I42" s="38" t="s">
        <v>52</v>
      </c>
      <c r="J42" s="40">
        <v>1</v>
      </c>
      <c r="K42" s="34" t="s">
        <v>11</v>
      </c>
      <c r="L42" s="34" t="s">
        <v>11</v>
      </c>
      <c r="M42" s="37">
        <v>3</v>
      </c>
    </row>
    <row r="43" spans="1:13" ht="18" customHeight="1" x14ac:dyDescent="0.4">
      <c r="A43" s="56">
        <v>40</v>
      </c>
      <c r="B43" s="50">
        <v>539</v>
      </c>
      <c r="C43" s="74" t="s">
        <v>156</v>
      </c>
      <c r="D43" s="37" t="s">
        <v>10</v>
      </c>
      <c r="E43" s="40" t="s">
        <v>160</v>
      </c>
      <c r="F43" s="40" t="s">
        <v>174</v>
      </c>
      <c r="G43" s="52" t="s">
        <v>158</v>
      </c>
      <c r="H43" s="52" t="s">
        <v>149</v>
      </c>
      <c r="I43" s="39" t="s">
        <v>71</v>
      </c>
      <c r="J43" s="40">
        <v>1</v>
      </c>
      <c r="K43" s="34" t="s">
        <v>11</v>
      </c>
      <c r="L43" s="34" t="s">
        <v>11</v>
      </c>
      <c r="M43" s="37">
        <v>9</v>
      </c>
    </row>
    <row r="44" spans="1:13" ht="18" customHeight="1" x14ac:dyDescent="0.4">
      <c r="A44" s="56">
        <v>41</v>
      </c>
      <c r="B44" s="53">
        <v>545</v>
      </c>
      <c r="C44" s="36" t="s">
        <v>74</v>
      </c>
      <c r="D44" s="37" t="s">
        <v>10</v>
      </c>
      <c r="E44" s="54" t="s">
        <v>75</v>
      </c>
      <c r="F44" s="37" t="s">
        <v>76</v>
      </c>
      <c r="G44" s="38" t="s">
        <v>150</v>
      </c>
      <c r="H44" s="38" t="s">
        <v>127</v>
      </c>
      <c r="I44" s="38" t="s">
        <v>52</v>
      </c>
      <c r="J44" s="40">
        <v>1</v>
      </c>
      <c r="K44" s="34" t="s">
        <v>11</v>
      </c>
      <c r="L44" s="34" t="s">
        <v>11</v>
      </c>
      <c r="M44" s="40">
        <v>3</v>
      </c>
    </row>
    <row r="45" spans="1:13" ht="18" customHeight="1" x14ac:dyDescent="0.4">
      <c r="A45" s="56">
        <v>42</v>
      </c>
      <c r="B45" s="50">
        <v>553</v>
      </c>
      <c r="C45" s="51" t="s">
        <v>103</v>
      </c>
      <c r="D45" s="37" t="s">
        <v>10</v>
      </c>
      <c r="E45" s="40" t="s">
        <v>104</v>
      </c>
      <c r="F45" s="40" t="s">
        <v>100</v>
      </c>
      <c r="G45" s="52" t="s">
        <v>105</v>
      </c>
      <c r="H45" s="52" t="s">
        <v>129</v>
      </c>
      <c r="I45" s="31" t="s">
        <v>34</v>
      </c>
      <c r="J45" s="69">
        <v>1</v>
      </c>
      <c r="K45" s="34" t="s">
        <v>11</v>
      </c>
      <c r="L45" s="34" t="s">
        <v>11</v>
      </c>
      <c r="M45" s="40">
        <v>9</v>
      </c>
    </row>
    <row r="46" spans="1:13" ht="18" customHeight="1" x14ac:dyDescent="0.4">
      <c r="A46" s="56">
        <v>43</v>
      </c>
      <c r="B46" s="50">
        <v>554</v>
      </c>
      <c r="C46" s="67" t="s">
        <v>110</v>
      </c>
      <c r="D46" s="37" t="s">
        <v>10</v>
      </c>
      <c r="E46" s="40" t="s">
        <v>112</v>
      </c>
      <c r="F46" s="40" t="s">
        <v>107</v>
      </c>
      <c r="G46" s="52" t="s">
        <v>113</v>
      </c>
      <c r="H46" s="52" t="s">
        <v>132</v>
      </c>
      <c r="I46" s="31" t="s">
        <v>115</v>
      </c>
      <c r="J46" s="69">
        <v>1</v>
      </c>
      <c r="K46" s="34" t="s">
        <v>11</v>
      </c>
      <c r="L46" s="34" t="s">
        <v>11</v>
      </c>
      <c r="M46" s="40">
        <v>9</v>
      </c>
    </row>
    <row r="47" spans="1:13" ht="18" customHeight="1" x14ac:dyDescent="0.4">
      <c r="A47" s="56">
        <v>44</v>
      </c>
      <c r="B47" s="50">
        <v>555</v>
      </c>
      <c r="C47" s="67" t="s">
        <v>111</v>
      </c>
      <c r="D47" s="37" t="s">
        <v>10</v>
      </c>
      <c r="E47" s="40" t="s">
        <v>112</v>
      </c>
      <c r="F47" s="40" t="s">
        <v>107</v>
      </c>
      <c r="G47" s="52" t="s">
        <v>114</v>
      </c>
      <c r="H47" s="52" t="s">
        <v>132</v>
      </c>
      <c r="I47" s="31" t="s">
        <v>115</v>
      </c>
      <c r="J47" s="69">
        <v>1</v>
      </c>
      <c r="K47" s="34" t="s">
        <v>11</v>
      </c>
      <c r="L47" s="34" t="s">
        <v>11</v>
      </c>
      <c r="M47" s="40">
        <v>3</v>
      </c>
    </row>
    <row r="48" spans="1:13" ht="18" customHeight="1" x14ac:dyDescent="0.4">
      <c r="A48" s="56">
        <v>45</v>
      </c>
      <c r="B48" s="55">
        <v>600</v>
      </c>
      <c r="C48" s="36" t="s">
        <v>80</v>
      </c>
      <c r="D48" s="37" t="s">
        <v>10</v>
      </c>
      <c r="E48" s="37" t="s">
        <v>81</v>
      </c>
      <c r="F48" s="37" t="s">
        <v>81</v>
      </c>
      <c r="G48" s="38" t="s">
        <v>152</v>
      </c>
      <c r="H48" s="38" t="s">
        <v>19</v>
      </c>
      <c r="I48" s="38" t="s">
        <v>82</v>
      </c>
      <c r="J48" s="40">
        <v>1</v>
      </c>
      <c r="K48" s="34" t="s">
        <v>11</v>
      </c>
      <c r="L48" s="34" t="s">
        <v>11</v>
      </c>
      <c r="M48" s="40">
        <v>9</v>
      </c>
    </row>
    <row r="49" spans="1:13" ht="18" customHeight="1" x14ac:dyDescent="0.4">
      <c r="A49" s="56">
        <v>46</v>
      </c>
      <c r="B49" s="50">
        <v>618</v>
      </c>
      <c r="C49" s="51" t="s">
        <v>99</v>
      </c>
      <c r="D49" s="37" t="s">
        <v>10</v>
      </c>
      <c r="E49" s="40" t="s">
        <v>100</v>
      </c>
      <c r="F49" s="40" t="s">
        <v>100</v>
      </c>
      <c r="G49" s="52" t="s">
        <v>102</v>
      </c>
      <c r="H49" s="38" t="s">
        <v>127</v>
      </c>
      <c r="I49" s="38" t="s">
        <v>82</v>
      </c>
      <c r="J49" s="40">
        <v>1</v>
      </c>
      <c r="K49" s="34" t="s">
        <v>11</v>
      </c>
      <c r="L49" s="34" t="s">
        <v>11</v>
      </c>
      <c r="M49" s="40">
        <v>3</v>
      </c>
    </row>
    <row r="50" spans="1:13" ht="18" customHeight="1" x14ac:dyDescent="0.4">
      <c r="A50" s="56">
        <v>47</v>
      </c>
      <c r="B50" s="50">
        <v>622</v>
      </c>
      <c r="C50" s="95" t="s">
        <v>108</v>
      </c>
      <c r="D50" s="37" t="s">
        <v>10</v>
      </c>
      <c r="E50" s="40" t="s">
        <v>106</v>
      </c>
      <c r="F50" s="40" t="s">
        <v>107</v>
      </c>
      <c r="G50" s="52" t="s">
        <v>109</v>
      </c>
      <c r="H50" s="52" t="s">
        <v>154</v>
      </c>
      <c r="I50" s="38" t="s">
        <v>77</v>
      </c>
      <c r="J50" s="40">
        <v>1</v>
      </c>
      <c r="K50" s="34" t="s">
        <v>11</v>
      </c>
      <c r="L50" s="34" t="s">
        <v>11</v>
      </c>
      <c r="M50" s="40">
        <v>3</v>
      </c>
    </row>
    <row r="51" spans="1:13" ht="18" customHeight="1" x14ac:dyDescent="0.4">
      <c r="A51" s="56"/>
      <c r="B51" s="50"/>
      <c r="C51" s="95"/>
      <c r="D51" s="37"/>
      <c r="E51" s="40"/>
      <c r="F51" s="40"/>
      <c r="G51" s="52"/>
      <c r="H51" s="52"/>
      <c r="I51" s="38"/>
      <c r="J51" s="40"/>
      <c r="K51" s="34"/>
      <c r="L51" s="34"/>
      <c r="M51" s="40"/>
    </row>
    <row r="52" spans="1:13" ht="18" customHeight="1" x14ac:dyDescent="0.35">
      <c r="A52" s="61"/>
      <c r="B52" s="61"/>
      <c r="C52" s="61"/>
      <c r="D52" s="61"/>
      <c r="E52" s="61"/>
      <c r="F52" s="61"/>
      <c r="G52" s="62" t="s">
        <v>72</v>
      </c>
      <c r="H52" s="62"/>
      <c r="I52" s="63"/>
      <c r="J52" s="89">
        <f>SUM(J4:J50)</f>
        <v>47</v>
      </c>
      <c r="K52" s="64"/>
      <c r="L52" s="64"/>
      <c r="M52" s="64"/>
    </row>
    <row r="53" spans="1:13" ht="18" customHeight="1" x14ac:dyDescent="0.4">
      <c r="A53" s="11" t="s">
        <v>168</v>
      </c>
      <c r="B53" s="12"/>
      <c r="C53" s="13"/>
      <c r="D53" s="12" t="s">
        <v>35</v>
      </c>
      <c r="E53" s="12"/>
      <c r="F53" s="14"/>
      <c r="G53" s="17"/>
      <c r="H53" s="17"/>
      <c r="I53" s="16"/>
      <c r="J53" s="68"/>
      <c r="K53" s="17"/>
      <c r="L53" s="17"/>
      <c r="M53" s="19"/>
    </row>
    <row r="54" spans="1:13" ht="18" customHeight="1" x14ac:dyDescent="0.4">
      <c r="A54" s="81" t="s">
        <v>79</v>
      </c>
      <c r="B54" s="82"/>
      <c r="C54" s="83"/>
      <c r="D54" s="82"/>
      <c r="E54" s="82"/>
      <c r="F54" s="84"/>
      <c r="G54" s="85"/>
      <c r="H54" s="85"/>
      <c r="I54" s="86"/>
      <c r="J54" s="87"/>
      <c r="K54" s="85"/>
      <c r="L54" s="85"/>
      <c r="M54" s="88"/>
    </row>
    <row r="55" spans="1:13" ht="18" customHeight="1" x14ac:dyDescent="0.4">
      <c r="A55" s="9" t="s">
        <v>36</v>
      </c>
      <c r="B55" s="6"/>
      <c r="C55" s="10"/>
      <c r="D55" s="6"/>
      <c r="E55" s="6"/>
      <c r="F55" s="8"/>
      <c r="G55" s="21" t="s">
        <v>39</v>
      </c>
      <c r="H55" s="21"/>
      <c r="I55" s="21"/>
      <c r="J55" s="70"/>
      <c r="K55" s="20"/>
      <c r="L55" s="20"/>
      <c r="M55" s="22"/>
    </row>
    <row r="56" spans="1:13" ht="18" customHeight="1" x14ac:dyDescent="0.4">
      <c r="A56" s="7" t="s">
        <v>37</v>
      </c>
      <c r="B56" s="6"/>
      <c r="C56" s="21" t="s">
        <v>38</v>
      </c>
      <c r="D56" s="20"/>
      <c r="E56" s="20"/>
      <c r="F56" s="20"/>
      <c r="G56" s="21" t="s">
        <v>42</v>
      </c>
      <c r="H56" s="23"/>
      <c r="I56" s="21"/>
      <c r="J56" s="70"/>
      <c r="K56" s="20"/>
      <c r="L56" s="20"/>
      <c r="M56" s="22"/>
    </row>
    <row r="57" spans="1:13" ht="18" customHeight="1" x14ac:dyDescent="0.35">
      <c r="A57" s="7" t="s">
        <v>40</v>
      </c>
      <c r="B57" s="6"/>
      <c r="C57" s="21" t="s">
        <v>41</v>
      </c>
      <c r="D57" s="20"/>
      <c r="E57" s="20"/>
      <c r="F57" s="20"/>
      <c r="G57" s="21" t="s">
        <v>45</v>
      </c>
      <c r="H57" s="21"/>
      <c r="I57" s="20"/>
      <c r="J57" s="70"/>
      <c r="K57" s="20"/>
      <c r="L57" s="20"/>
      <c r="M57" s="22"/>
    </row>
    <row r="58" spans="1:13" ht="18" customHeight="1" x14ac:dyDescent="0.35">
      <c r="A58" s="7" t="s">
        <v>43</v>
      </c>
      <c r="B58" s="6"/>
      <c r="C58" s="21" t="s">
        <v>44</v>
      </c>
      <c r="D58" s="20"/>
      <c r="E58" s="20"/>
      <c r="F58" s="20"/>
      <c r="G58" s="21" t="s">
        <v>48</v>
      </c>
      <c r="H58" s="21"/>
      <c r="I58" s="20"/>
      <c r="J58" s="70"/>
      <c r="K58" s="20"/>
      <c r="L58" s="20"/>
      <c r="M58" s="22"/>
    </row>
    <row r="59" spans="1:13" ht="18" customHeight="1" x14ac:dyDescent="0.35">
      <c r="A59" s="15" t="s">
        <v>46</v>
      </c>
      <c r="B59" s="5"/>
      <c r="C59" s="25" t="s">
        <v>47</v>
      </c>
      <c r="D59" s="24"/>
      <c r="E59" s="24"/>
      <c r="F59" s="24"/>
      <c r="G59" s="25" t="s">
        <v>49</v>
      </c>
      <c r="H59" s="25"/>
      <c r="I59" s="24"/>
      <c r="J59" s="71"/>
      <c r="K59" s="26"/>
      <c r="L59" s="26"/>
      <c r="M59" s="27"/>
    </row>
  </sheetData>
  <mergeCells count="5">
    <mergeCell ref="A2:A3"/>
    <mergeCell ref="G2:G3"/>
    <mergeCell ref="K2:L2"/>
    <mergeCell ref="H2:H3"/>
    <mergeCell ref="J2:J3"/>
  </mergeCells>
  <phoneticPr fontId="19" type="noConversion"/>
  <conditionalFormatting sqref="B60:B65536 B49:B52 B4:B36 B38:B42 B44:B47">
    <cfRule type="expression" dxfId="13" priority="15" stopIfTrue="1">
      <formula>AND(COUNTIF($B$49:$B$52, B4)+COUNTIF($B$4:$B$47, B4)+COUNTIF($B$60:$B$65536, B4)&gt;1,NOT(ISBLANK(B4)))</formula>
    </cfRule>
    <cfRule type="expression" dxfId="12" priority="16" stopIfTrue="1">
      <formula>AND(COUNTIF($B$49:$B$52, B4)+COUNTIF($B$4:$B$47, B4)+COUNTIF($B$60:$B$65536, B4)&gt;1,NOT(ISBLANK(B4)))</formula>
    </cfRule>
  </conditionalFormatting>
  <conditionalFormatting sqref="B48">
    <cfRule type="duplicateValues" dxfId="11" priority="13" stopIfTrue="1"/>
    <cfRule type="duplicateValues" dxfId="10" priority="14" stopIfTrue="1"/>
  </conditionalFormatting>
  <conditionalFormatting sqref="B2:B3">
    <cfRule type="duplicateValues" dxfId="9" priority="11" stopIfTrue="1"/>
    <cfRule type="duplicateValues" dxfId="8" priority="12" stopIfTrue="1"/>
  </conditionalFormatting>
  <conditionalFormatting sqref="B53:B55">
    <cfRule type="duplicateValues" dxfId="7" priority="9" stopIfTrue="1"/>
    <cfRule type="duplicateValues" dxfId="6" priority="10" stopIfTrue="1"/>
  </conditionalFormatting>
  <conditionalFormatting sqref="B56:B59">
    <cfRule type="duplicateValues" dxfId="5" priority="7" stopIfTrue="1"/>
    <cfRule type="duplicateValues" dxfId="4" priority="8" stopIfTrue="1"/>
  </conditionalFormatting>
  <conditionalFormatting sqref="B43 B37">
    <cfRule type="expression" dxfId="3" priority="5" stopIfTrue="1">
      <formula>AND(COUNTIF($B$10:$B$65536, B37)+COUNTIF(#REF!, B37)+COUNTIF($B$3:$B$7, B37)&gt;1,NOT(ISBLANK(B37)))</formula>
    </cfRule>
    <cfRule type="expression" dxfId="2" priority="6" stopIfTrue="1">
      <formula>AND(COUNTIF($B$10:$B$65536, B37)+COUNTIF(#REF!, B37)+COUNTIF($B$3:$B$7, B37)&gt;1,NOT(ISBLANK(B37)))</formula>
    </cfRule>
  </conditionalFormatting>
  <conditionalFormatting sqref="B37">
    <cfRule type="duplicateValues" dxfId="1" priority="4" stopIfTrue="1"/>
  </conditionalFormatting>
  <conditionalFormatting sqref="B43">
    <cfRule type="duplicateValues" dxfId="0" priority="1" stopIfTrue="1"/>
  </conditionalFormatting>
  <pageMargins left="0.38750000000000001" right="0.15" top="0.53125" bottom="0.38722826086956502" header="0.23" footer="7.0000000000000007E-2"/>
  <pageSetup paperSize="9" orientation="landscape" horizontalDpi="300" verticalDpi="300" r:id="rId1"/>
  <headerFooter>
    <oddHeader>&amp;L&amp;"FreesiaUPC,Bold"&amp;16REV. NO. R</oddHeader>
    <oddFooter>&amp;C&amp;"Cordia New,Bold"&amp;12List of TMA chemical requisition and installing registration records&amp;R&amp;"Cordia New,Regular"&amp;12PAGE &amp;P OF 3</oddFooter>
  </headerFooter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2024-11-14T04:37:12Z</cp:lastPrinted>
  <dcterms:created xsi:type="dcterms:W3CDTF">2016-10-10T04:46:16Z</dcterms:created>
  <dcterms:modified xsi:type="dcterms:W3CDTF">2025-02-04T06:50:28Z</dcterms:modified>
</cp:coreProperties>
</file>