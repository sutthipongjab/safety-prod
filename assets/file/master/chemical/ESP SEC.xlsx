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obs\28-11-24 safety\chemical master section\"/>
    </mc:Choice>
  </mc:AlternateContent>
  <xr:revisionPtr revIDLastSave="0" documentId="8_{0F198EC9-9D01-4810-BB3D-FDC62D850266}" xr6:coauthVersionLast="47" xr6:coauthVersionMax="47" xr10:uidLastSave="{00000000-0000-0000-0000-000000000000}"/>
  <bookViews>
    <workbookView xWindow="-120" yWindow="-120" windowWidth="29040" windowHeight="15720"/>
  </bookViews>
  <sheets>
    <sheet name="THตัด" sheetId="5" r:id="rId1"/>
  </sheets>
  <definedNames>
    <definedName name="_xlnm.Print_Area" localSheetId="0">THตัด!$A$1:$M$30</definedName>
    <definedName name="_xlnm.Print_Titles" localSheetId="0">THตัด!$2:$3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5" l="1"/>
</calcChain>
</file>

<file path=xl/sharedStrings.xml><?xml version="1.0" encoding="utf-8"?>
<sst xmlns="http://schemas.openxmlformats.org/spreadsheetml/2006/main" count="204" uniqueCount="128">
  <si>
    <t>NO</t>
  </si>
  <si>
    <t>ID</t>
  </si>
  <si>
    <t>REV</t>
  </si>
  <si>
    <t>EFFECTIVE</t>
  </si>
  <si>
    <t>RECORD</t>
  </si>
  <si>
    <t>No.</t>
  </si>
  <si>
    <t>DATE</t>
  </si>
  <si>
    <t>RECEIVED DATE</t>
  </si>
  <si>
    <t>[Carbinet No./Rack No./Column]</t>
  </si>
  <si>
    <t>*</t>
  </si>
  <si>
    <t>OK</t>
  </si>
  <si>
    <t>045</t>
  </si>
  <si>
    <t>LPG gas</t>
  </si>
  <si>
    <t>Remark : Classification of Hazardous Substances (ประเภทของวัตถุอันตราย)</t>
  </si>
  <si>
    <t>Class 1</t>
  </si>
  <si>
    <t>Explosives (วัตถุระเบิด)</t>
  </si>
  <si>
    <t>Class 5   Oxidizers and organic peroxides (ตัวเติมออกซิเจนและสารประกอบอินทรีย์เปอร์ออกไซด์)</t>
  </si>
  <si>
    <t>Class 2</t>
  </si>
  <si>
    <t>Gases (ก๊าซต่างๆ)</t>
  </si>
  <si>
    <t>Class 6   Poisonous material and Infectious substances (***สารพิษและสารที่ทำให้เกิดโรคติดต่อ***)</t>
  </si>
  <si>
    <t>Class 3</t>
  </si>
  <si>
    <t>Flammable Liquid (ของเหลวไวไฟ)</t>
  </si>
  <si>
    <t>Class 7   Radioactive materials (สารกัมมันตรังสี)</t>
  </si>
  <si>
    <t>Class 4</t>
  </si>
  <si>
    <t>Flammable Solid (ของแข็งลุกติดไฟได้)</t>
  </si>
  <si>
    <t>Class 8   Corrosive materials (สารกัดกร่อน)</t>
  </si>
  <si>
    <t>Class 9   Miscellaneous hazardous materials (สารหรือวัตถุอื่นที่อาจเป็นอันตรายได้)</t>
  </si>
  <si>
    <t>H1</t>
  </si>
  <si>
    <t>H3</t>
  </si>
  <si>
    <t>H8</t>
  </si>
  <si>
    <t>003</t>
  </si>
  <si>
    <t>Acetylene gas</t>
  </si>
  <si>
    <t>H101R(G13), H102R(G14)</t>
  </si>
  <si>
    <t>015</t>
  </si>
  <si>
    <t>Carbondioxide gas</t>
  </si>
  <si>
    <t>H801R  / Cutting Factory</t>
  </si>
  <si>
    <t>055</t>
  </si>
  <si>
    <t>Oxygen gas</t>
  </si>
  <si>
    <t>074</t>
  </si>
  <si>
    <t>Shell Tellus Oil 32</t>
  </si>
  <si>
    <t>075</t>
  </si>
  <si>
    <t>Shell Tellus Oil 68</t>
  </si>
  <si>
    <t>A</t>
  </si>
  <si>
    <t>H101C(D25, G25)</t>
  </si>
  <si>
    <t>170</t>
  </si>
  <si>
    <t>076</t>
  </si>
  <si>
    <t>Shell Tonna oil T68</t>
  </si>
  <si>
    <t>287</t>
  </si>
  <si>
    <t>245</t>
  </si>
  <si>
    <t>260</t>
  </si>
  <si>
    <t>Nitrogen</t>
  </si>
  <si>
    <t>289</t>
  </si>
  <si>
    <t>Helium</t>
  </si>
  <si>
    <t>CONTROLLER</t>
  </si>
  <si>
    <t>CABINET N0. : Controlled by</t>
  </si>
  <si>
    <t>High P-tank,H301R(G19),H302R(G19),Gas keeping</t>
  </si>
  <si>
    <t>CLASS</t>
  </si>
  <si>
    <t>LZ02 machine</t>
  </si>
  <si>
    <t>Anti spatter F-200</t>
  </si>
  <si>
    <t>LIST OF ESP CHEMICAL SDS REGISTRATION RECORDS</t>
  </si>
  <si>
    <t>SDS</t>
  </si>
  <si>
    <t>CHEM_ESP002 (D1)</t>
  </si>
  <si>
    <t>8 Oct.2013</t>
  </si>
  <si>
    <t>CHEM_ESP001 (D6), CHEM_ESP002 (D1)</t>
  </si>
  <si>
    <t>1 Jul.1998</t>
  </si>
  <si>
    <t>High P-tank, H1 / LZ02 Machine</t>
  </si>
  <si>
    <t>12 Oct.2001</t>
  </si>
  <si>
    <t>8 Apr.2009</t>
  </si>
  <si>
    <t>H1, H3 (G21)</t>
  </si>
  <si>
    <t>Material cutting Factory (D3), CHEM_ESP001 (D6)</t>
  </si>
  <si>
    <t>9 Apr.2009</t>
  </si>
  <si>
    <t>024</t>
  </si>
  <si>
    <t>361</t>
  </si>
  <si>
    <t>D-Brite Cleaning</t>
  </si>
  <si>
    <t>:  Mr.Ekkapap</t>
  </si>
  <si>
    <t>:  Mr.Sak athirat</t>
  </si>
  <si>
    <t>- CHEM_ESP001 (D6) : Mr.Sak athirat , Mr.Thammarak</t>
  </si>
  <si>
    <t>- CHEM_ESP002 (D1) : Mr.Sak athirat, Mr.Boonsong</t>
  </si>
  <si>
    <t>TOTAL SDS/SHOP</t>
  </si>
  <si>
    <t>1 Nov.2023</t>
  </si>
  <si>
    <t>Diesel B7</t>
  </si>
  <si>
    <t>30 Nov.2023</t>
  </si>
  <si>
    <t>4 Dec.2023</t>
  </si>
  <si>
    <t>CHEM_ESP001 (D)</t>
  </si>
  <si>
    <t>363</t>
  </si>
  <si>
    <t>Adrana D 208.08</t>
  </si>
  <si>
    <t>8 Dec.2023</t>
  </si>
  <si>
    <t>ชื่อสารเคมี /</t>
  </si>
  <si>
    <t>ชื่อทางการค้า</t>
  </si>
  <si>
    <t>การใช้ประโยชน์</t>
  </si>
  <si>
    <t>จุดใช้งาน /</t>
  </si>
  <si>
    <t>กระบวนการ</t>
  </si>
  <si>
    <t>จุดจัดเก็บ</t>
  </si>
  <si>
    <t>จำนวน</t>
  </si>
  <si>
    <t>ก๊าซใช้เชื่อม,ตัดชิ้นงาน (Hand Gas)</t>
  </si>
  <si>
    <t>เครื่อง GC03,05,06</t>
  </si>
  <si>
    <t>ก๊าซใช้ตัดชิ้นงาน</t>
  </si>
  <si>
    <t>เครื่อง LZ02</t>
  </si>
  <si>
    <t>เครื่อง TP11</t>
  </si>
  <si>
    <t xml:space="preserve">น้ำมันหล่อลื่น Pump unit </t>
  </si>
  <si>
    <t xml:space="preserve">ใช้ทำความสะอาด Coil Liner </t>
  </si>
  <si>
    <t xml:space="preserve">งาน TPM </t>
  </si>
  <si>
    <t>น้ำมันหล่อลื่นเครื่องจักร</t>
  </si>
  <si>
    <t>น้ำยาป้องกันสะเก็ดงานเชื่อม</t>
  </si>
  <si>
    <t>น้ำยาหล่อเย็นเครื่องจักร</t>
  </si>
  <si>
    <t>ก๊าซสำหรับเครื่องตัดด้วยเลเซอร์</t>
  </si>
  <si>
    <t>น้ำมันใช้กับเครื่องจักร TP11</t>
  </si>
  <si>
    <t>น้ำมันดันฝุ่นทำความสะอาดพื้น</t>
  </si>
  <si>
    <t>พื้นที่ทำงาน ESP</t>
  </si>
  <si>
    <t xml:space="preserve">น้ำมันหล่อลื่น เครื่อง TP11 </t>
  </si>
  <si>
    <t>Hand Gas Cutting</t>
  </si>
  <si>
    <t>ใช้ทำความสะอาดเครื่องจักร, ชิ้นงาน</t>
  </si>
  <si>
    <t>Material Cutting</t>
  </si>
  <si>
    <t>298</t>
  </si>
  <si>
    <t>Emulcut FA-800</t>
  </si>
  <si>
    <t>30 Jun.2023</t>
  </si>
  <si>
    <t>11 Sep.2024</t>
  </si>
  <si>
    <t>น้ำมันหล่อเย็นสำหรับเครื่องจักร</t>
  </si>
  <si>
    <t>ก๊าซใช้เชื่อมชิ้นงาน</t>
  </si>
  <si>
    <t>เครื่อง EW</t>
  </si>
  <si>
    <t>เครื่อง BS</t>
  </si>
  <si>
    <t>จุดงานเชื่อม H1,H3</t>
  </si>
  <si>
    <t>เครื่อง BD, RD</t>
  </si>
  <si>
    <t>15 Oct.2024</t>
  </si>
  <si>
    <t>11 Dec.2023</t>
  </si>
  <si>
    <r>
      <t>Sonax MOS</t>
    </r>
    <r>
      <rPr>
        <vertAlign val="subscript"/>
        <sz val="13"/>
        <rFont val="FreesiaUPC"/>
        <family val="2"/>
      </rPr>
      <t xml:space="preserve">2 </t>
    </r>
    <r>
      <rPr>
        <sz val="13"/>
        <rFont val="FreesiaUPC"/>
        <family val="2"/>
      </rPr>
      <t>Oil</t>
    </r>
  </si>
  <si>
    <t>5 Jan.2024</t>
  </si>
  <si>
    <t>J-Shop 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</si>
</sst>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409]d\ mmm\ yy;@"/>
  </numFmts>
  <fonts count="14" x14ac:knownFonts="1">
    <font>
      <sz val="11"/>
      <color theme="1"/>
      <name val="Calibri"/>
      <family val="2"/>
      <scheme val="minor"/>
    </font>
    <font>
      <sz val="10"/>
      <name val="MS Sans Serif"/>
      <family val="2"/>
      <charset val="222"/>
    </font>
    <font>
      <sz val="12"/>
      <name val="FreesiaUPC"/>
      <family val="2"/>
      <charset val="222"/>
    </font>
    <font>
      <sz val="13"/>
      <name val="FreesiaUPC"/>
      <family val="2"/>
      <charset val="222"/>
    </font>
    <font>
      <b/>
      <sz val="14"/>
      <name val="FreesiaUPC"/>
      <family val="2"/>
    </font>
    <font>
      <sz val="14"/>
      <name val="FreesiaUPC"/>
      <family val="2"/>
    </font>
    <font>
      <sz val="13"/>
      <name val="FreesiaUPC"/>
      <family val="2"/>
    </font>
    <font>
      <b/>
      <sz val="13"/>
      <name val="FreesiaUPC"/>
      <family val="2"/>
    </font>
    <font>
      <vertAlign val="subscript"/>
      <sz val="13"/>
      <name val="FreesiaUPC"/>
      <family val="2"/>
    </font>
    <font>
      <b/>
      <sz val="24"/>
      <name val="FreesiaUPC"/>
      <family val="2"/>
    </font>
    <font>
      <sz val="13"/>
      <color rgb="FFFF0000"/>
      <name val="FreesiaUPC"/>
      <family val="2"/>
      <charset val="222"/>
    </font>
    <font>
      <sz val="12"/>
      <color rgb="FFFF0000"/>
      <name val="FreesiaUPC"/>
      <family val="2"/>
      <charset val="222"/>
    </font>
    <font>
      <b/>
      <sz val="14"/>
      <color rgb="FFFF0000"/>
      <name val="FreesiaUPC"/>
      <family val="2"/>
    </font>
    <font>
      <sz val="14"/>
      <color rgb="FFFF0000"/>
      <name val="FreesiaUPC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0">
    <xf numFmtId="0" fontId="0" fillId="0" borderId="0" xfId="0"/>
    <xf numFmtId="0" fontId="10" fillId="0" borderId="0" xfId="0" applyFont="1"/>
    <xf numFmtId="0" fontId="11" fillId="0" borderId="4" xfId="0" applyFont="1" applyBorder="1" applyAlignment="1">
      <alignment horizontal="center"/>
    </xf>
    <xf numFmtId="0" fontId="11" fillId="0" borderId="1" xfId="0" applyFont="1" applyBorder="1"/>
    <xf numFmtId="0" fontId="11" fillId="0" borderId="0" xfId="0" applyFont="1" applyBorder="1"/>
    <xf numFmtId="0" fontId="11" fillId="0" borderId="0" xfId="0" applyFont="1" applyBorder="1" applyAlignment="1">
      <alignment horizontal="center"/>
    </xf>
    <xf numFmtId="0" fontId="11" fillId="0" borderId="8" xfId="0" applyFont="1" applyBorder="1"/>
    <xf numFmtId="0" fontId="11" fillId="0" borderId="0" xfId="1" applyFont="1" applyBorder="1" applyProtection="1">
      <protection locked="0"/>
    </xf>
    <xf numFmtId="0" fontId="11" fillId="0" borderId="8" xfId="1" applyFont="1" applyBorder="1" applyAlignment="1" applyProtection="1">
      <alignment horizontal="center"/>
      <protection locked="0"/>
    </xf>
    <xf numFmtId="0" fontId="3" fillId="0" borderId="0" xfId="0" applyFont="1"/>
    <xf numFmtId="0" fontId="3" fillId="3" borderId="0" xfId="0" applyFont="1" applyFill="1"/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1" applyFont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49" fontId="12" fillId="4" borderId="10" xfId="0" applyNumberFormat="1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vertical="center"/>
    </xf>
    <xf numFmtId="164" fontId="12" fillId="4" borderId="10" xfId="0" applyNumberFormat="1" applyFont="1" applyFill="1" applyBorder="1" applyAlignment="1">
      <alignment horizontal="center" vertical="center"/>
    </xf>
    <xf numFmtId="164" fontId="12" fillId="4" borderId="10" xfId="0" quotePrefix="1" applyNumberFormat="1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13" fillId="0" borderId="7" xfId="0" applyFont="1" applyBorder="1"/>
    <xf numFmtId="0" fontId="4" fillId="0" borderId="4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13" fillId="0" borderId="4" xfId="0" applyFont="1" applyBorder="1"/>
    <xf numFmtId="0" fontId="13" fillId="0" borderId="5" xfId="0" applyFont="1" applyBorder="1"/>
    <xf numFmtId="0" fontId="4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13" fillId="0" borderId="0" xfId="0" applyFont="1" applyBorder="1"/>
    <xf numFmtId="0" fontId="5" fillId="0" borderId="0" xfId="0" quotePrefix="1" applyFont="1" applyBorder="1"/>
    <xf numFmtId="0" fontId="5" fillId="0" borderId="0" xfId="0" applyFont="1" applyBorder="1"/>
    <xf numFmtId="0" fontId="13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10" fillId="0" borderId="4" xfId="0" applyFont="1" applyBorder="1"/>
    <xf numFmtId="0" fontId="5" fillId="0" borderId="0" xfId="1" applyFont="1" applyBorder="1" applyProtection="1">
      <protection locked="0"/>
    </xf>
    <xf numFmtId="0" fontId="5" fillId="0" borderId="0" xfId="1" applyFont="1" applyBorder="1" applyAlignment="1" applyProtection="1">
      <alignment horizontal="left"/>
      <protection locked="0"/>
    </xf>
    <xf numFmtId="15" fontId="5" fillId="0" borderId="5" xfId="1" applyNumberFormat="1" applyFont="1" applyBorder="1" applyAlignment="1" applyProtection="1">
      <alignment horizontal="left"/>
      <protection locked="0"/>
    </xf>
    <xf numFmtId="0" fontId="12" fillId="0" borderId="0" xfId="1" applyFont="1" applyBorder="1" applyAlignment="1" applyProtection="1">
      <alignment horizontal="left"/>
      <protection locked="0"/>
    </xf>
    <xf numFmtId="15" fontId="12" fillId="0" borderId="5" xfId="1" applyNumberFormat="1" applyFont="1" applyBorder="1" applyAlignment="1" applyProtection="1">
      <alignment horizontal="left"/>
      <protection locked="0"/>
    </xf>
    <xf numFmtId="0" fontId="12" fillId="0" borderId="0" xfId="1" applyFont="1" applyBorder="1" applyProtection="1">
      <protection locked="0"/>
    </xf>
    <xf numFmtId="0" fontId="5" fillId="0" borderId="6" xfId="1" applyFont="1" applyBorder="1" applyAlignment="1" applyProtection="1">
      <alignment horizontal="left"/>
      <protection locked="0"/>
    </xf>
    <xf numFmtId="0" fontId="5" fillId="0" borderId="6" xfId="1" applyFont="1" applyBorder="1" applyAlignment="1" applyProtection="1">
      <alignment horizontal="center"/>
      <protection locked="0"/>
    </xf>
    <xf numFmtId="0" fontId="4" fillId="0" borderId="7" xfId="1" applyFont="1" applyBorder="1" applyAlignment="1" applyProtection="1">
      <alignment horizontal="left"/>
      <protection locked="0"/>
    </xf>
    <xf numFmtId="0" fontId="5" fillId="0" borderId="4" xfId="1" applyFont="1" applyBorder="1" applyProtection="1">
      <protection locked="0"/>
    </xf>
    <xf numFmtId="49" fontId="5" fillId="0" borderId="4" xfId="1" applyNumberFormat="1" applyFont="1" applyBorder="1" applyProtection="1">
      <protection locked="0"/>
    </xf>
    <xf numFmtId="0" fontId="5" fillId="0" borderId="4" xfId="1" applyFont="1" applyBorder="1" applyAlignment="1" applyProtection="1">
      <alignment horizontal="center"/>
      <protection locked="0"/>
    </xf>
    <xf numFmtId="0" fontId="2" fillId="0" borderId="4" xfId="1" applyFont="1" applyBorder="1" applyAlignment="1" applyProtection="1">
      <alignment horizontal="center" vertical="center"/>
      <protection locked="0"/>
    </xf>
    <xf numFmtId="0" fontId="11" fillId="0" borderId="4" xfId="1" applyFont="1" applyBorder="1" applyProtection="1">
      <protection locked="0"/>
    </xf>
    <xf numFmtId="0" fontId="11" fillId="0" borderId="1" xfId="1" applyFont="1" applyBorder="1" applyAlignment="1" applyProtection="1">
      <alignment horizontal="center"/>
      <protection locked="0"/>
    </xf>
    <xf numFmtId="0" fontId="10" fillId="0" borderId="9" xfId="0" applyFont="1" applyBorder="1"/>
    <xf numFmtId="0" fontId="10" fillId="0" borderId="6" xfId="0" applyFont="1" applyBorder="1"/>
    <xf numFmtId="0" fontId="10" fillId="0" borderId="6" xfId="0" applyFont="1" applyBorder="1" applyAlignment="1">
      <alignment horizontal="center" vertical="center"/>
    </xf>
    <xf numFmtId="0" fontId="10" fillId="0" borderId="11" xfId="0" applyFont="1" applyBorder="1"/>
    <xf numFmtId="0" fontId="4" fillId="2" borderId="1" xfId="1" applyFont="1" applyFill="1" applyBorder="1" applyAlignment="1" applyProtection="1">
      <alignment horizontal="center"/>
      <protection locked="0"/>
    </xf>
    <xf numFmtId="0" fontId="4" fillId="2" borderId="2" xfId="1" applyFont="1" applyFill="1" applyBorder="1" applyAlignment="1" applyProtection="1">
      <alignment horizontal="center"/>
      <protection locked="0"/>
    </xf>
    <xf numFmtId="0" fontId="4" fillId="2" borderId="7" xfId="1" applyFont="1" applyFill="1" applyBorder="1" applyAlignment="1" applyProtection="1">
      <alignment horizontal="center"/>
      <protection locked="0"/>
    </xf>
    <xf numFmtId="0" fontId="4" fillId="2" borderId="4" xfId="1" applyFont="1" applyFill="1" applyBorder="1" applyAlignment="1" applyProtection="1">
      <alignment horizontal="center" vertical="center"/>
      <protection locked="0"/>
    </xf>
    <xf numFmtId="0" fontId="4" fillId="2" borderId="11" xfId="1" applyFont="1" applyFill="1" applyBorder="1" applyAlignment="1" applyProtection="1">
      <alignment horizontal="center"/>
      <protection locked="0"/>
    </xf>
    <xf numFmtId="0" fontId="4" fillId="2" borderId="3" xfId="1" applyFont="1" applyFill="1" applyBorder="1" applyAlignment="1" applyProtection="1">
      <alignment horizontal="center"/>
      <protection locked="0"/>
    </xf>
    <xf numFmtId="0" fontId="5" fillId="2" borderId="3" xfId="1" applyFont="1" applyFill="1" applyBorder="1" applyAlignment="1" applyProtection="1">
      <alignment horizontal="center"/>
      <protection locked="0"/>
    </xf>
    <xf numFmtId="0" fontId="5" fillId="2" borderId="3" xfId="1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>
      <alignment horizontal="center" vertical="center"/>
    </xf>
    <xf numFmtId="49" fontId="6" fillId="0" borderId="10" xfId="0" quotePrefix="1" applyNumberFormat="1" applyFont="1" applyFill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164" fontId="6" fillId="0" borderId="10" xfId="0" quotePrefix="1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7" fillId="0" borderId="10" xfId="0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49" fontId="6" fillId="0" borderId="10" xfId="0" applyNumberFormat="1" applyFont="1" applyFill="1" applyBorder="1" applyAlignment="1">
      <alignment horizontal="center" vertical="center"/>
    </xf>
    <xf numFmtId="0" fontId="6" fillId="0" borderId="10" xfId="0" quotePrefix="1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vertical="center"/>
    </xf>
    <xf numFmtId="0" fontId="6" fillId="3" borderId="10" xfId="0" applyFont="1" applyFill="1" applyBorder="1" applyAlignment="1">
      <alignment horizontal="center" vertical="center"/>
    </xf>
    <xf numFmtId="164" fontId="6" fillId="3" borderId="10" xfId="0" quotePrefix="1" applyNumberFormat="1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left" vertical="center"/>
    </xf>
    <xf numFmtId="0" fontId="7" fillId="3" borderId="10" xfId="0" applyFont="1" applyFill="1" applyBorder="1" applyAlignment="1">
      <alignment horizontal="center" vertical="center"/>
    </xf>
    <xf numFmtId="0" fontId="9" fillId="0" borderId="0" xfId="0" applyFont="1" applyAlignment="1">
      <alignment vertical="top"/>
    </xf>
    <xf numFmtId="0" fontId="4" fillId="2" borderId="2" xfId="1" applyFont="1" applyFill="1" applyBorder="1" applyAlignment="1" applyProtection="1">
      <alignment horizontal="center" vertical="center"/>
      <protection locked="0"/>
    </xf>
    <xf numFmtId="0" fontId="4" fillId="2" borderId="3" xfId="1" applyFont="1" applyFill="1" applyBorder="1" applyAlignment="1" applyProtection="1">
      <alignment horizontal="center" vertical="center"/>
      <protection locked="0"/>
    </xf>
    <xf numFmtId="0" fontId="4" fillId="2" borderId="12" xfId="1" applyFont="1" applyFill="1" applyBorder="1" applyAlignment="1" applyProtection="1">
      <alignment horizontal="center"/>
      <protection locked="0"/>
    </xf>
    <xf numFmtId="0" fontId="4" fillId="2" borderId="13" xfId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Normal 2" xfId="1"/>
  </cellStyles>
  <dxfs count="2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819150</xdr:colOff>
      <xdr:row>0</xdr:row>
      <xdr:rowOff>95250</xdr:rowOff>
    </xdr:from>
    <xdr:to>
      <xdr:col>8</xdr:col>
      <xdr:colOff>542925</xdr:colOff>
      <xdr:row>0</xdr:row>
      <xdr:rowOff>1066800</xdr:rowOff>
    </xdr:to>
    <xdr:sp macro="" textlink="">
      <xdr:nvSpPr>
        <xdr:cNvPr id="3147" name="Rectangle 44">
          <a:extLst>
            <a:ext uri="{FF2B5EF4-FFF2-40B4-BE49-F238E27FC236}">
              <a16:creationId xmlns:a16="http://schemas.microsoft.com/office/drawing/2014/main" id="{D76C1BF0-B31D-7D7F-37B9-E66A70584F46}"/>
            </a:ext>
          </a:extLst>
        </xdr:cNvPr>
        <xdr:cNvSpPr>
          <a:spLocks noChangeArrowheads="1"/>
        </xdr:cNvSpPr>
      </xdr:nvSpPr>
      <xdr:spPr bwMode="auto">
        <a:xfrm>
          <a:off x="6524625" y="95250"/>
          <a:ext cx="971550" cy="971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819150</xdr:colOff>
      <xdr:row>0</xdr:row>
      <xdr:rowOff>95250</xdr:rowOff>
    </xdr:from>
    <xdr:to>
      <xdr:col>12</xdr:col>
      <xdr:colOff>171450</xdr:colOff>
      <xdr:row>0</xdr:row>
      <xdr:rowOff>1219200</xdr:rowOff>
    </xdr:to>
    <xdr:grpSp>
      <xdr:nvGrpSpPr>
        <xdr:cNvPr id="3148" name="Group 13">
          <a:extLst>
            <a:ext uri="{FF2B5EF4-FFF2-40B4-BE49-F238E27FC236}">
              <a16:creationId xmlns:a16="http://schemas.microsoft.com/office/drawing/2014/main" id="{2295EF38-8CA6-84FA-0D96-5C0CDFC552A6}"/>
            </a:ext>
          </a:extLst>
        </xdr:cNvPr>
        <xdr:cNvGrpSpPr>
          <a:grpSpLocks/>
        </xdr:cNvGrpSpPr>
      </xdr:nvGrpSpPr>
      <xdr:grpSpPr bwMode="auto">
        <a:xfrm>
          <a:off x="6799193" y="95250"/>
          <a:ext cx="4462670" cy="1123950"/>
          <a:chOff x="651" y="7"/>
          <a:chExt cx="352" cy="118"/>
        </a:xfrm>
      </xdr:grpSpPr>
      <xdr:grpSp>
        <xdr:nvGrpSpPr>
          <xdr:cNvPr id="3150" name="Group 14">
            <a:extLst>
              <a:ext uri="{FF2B5EF4-FFF2-40B4-BE49-F238E27FC236}">
                <a16:creationId xmlns:a16="http://schemas.microsoft.com/office/drawing/2014/main" id="{0890D23B-D8AE-0DDA-E8F6-117611E01C81}"/>
              </a:ext>
            </a:extLst>
          </xdr:cNvPr>
          <xdr:cNvGrpSpPr>
            <a:grpSpLocks/>
          </xdr:cNvGrpSpPr>
        </xdr:nvGrpSpPr>
        <xdr:grpSpPr bwMode="auto">
          <a:xfrm>
            <a:off x="924" y="7"/>
            <a:ext cx="79" cy="102"/>
            <a:chOff x="1010" y="15"/>
            <a:chExt cx="79" cy="102"/>
          </a:xfrm>
        </xdr:grpSpPr>
        <xdr:sp macro="" textlink="">
          <xdr:nvSpPr>
            <xdr:cNvPr id="3162" name="Rectangle 20">
              <a:extLst>
                <a:ext uri="{FF2B5EF4-FFF2-40B4-BE49-F238E27FC236}">
                  <a16:creationId xmlns:a16="http://schemas.microsoft.com/office/drawing/2014/main" id="{17131C9B-23F4-5451-0E4E-86192BBBC43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10" y="15"/>
              <a:ext cx="79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6" name="Text Box 21">
              <a:extLst>
                <a:ext uri="{FF2B5EF4-FFF2-40B4-BE49-F238E27FC236}">
                  <a16:creationId xmlns:a16="http://schemas.microsoft.com/office/drawing/2014/main" id="{D6050717-DDAD-8859-E627-BF1ABAE7B32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15" y="16"/>
              <a:ext cx="70" cy="23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27432" tIns="45720" rIns="0" bIns="0" anchor="t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000000"/>
                  </a:solidFill>
                  <a:latin typeface="Arial Narrow"/>
                </a:rPr>
                <a:t>S/T DDEM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  <xdr:sp macro="" textlink="">
          <xdr:nvSpPr>
            <xdr:cNvPr id="3164" name="Line 26">
              <a:extLst>
                <a:ext uri="{FF2B5EF4-FFF2-40B4-BE49-F238E27FC236}">
                  <a16:creationId xmlns:a16="http://schemas.microsoft.com/office/drawing/2014/main" id="{ABBFDC1B-7EC3-0428-FEF0-00E6AD96FA9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11" y="41"/>
              <a:ext cx="7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3151" name="Group 18">
            <a:extLst>
              <a:ext uri="{FF2B5EF4-FFF2-40B4-BE49-F238E27FC236}">
                <a16:creationId xmlns:a16="http://schemas.microsoft.com/office/drawing/2014/main" id="{94DCFB3D-8DEF-6B47-6D9A-126F7E0D6671}"/>
              </a:ext>
            </a:extLst>
          </xdr:cNvPr>
          <xdr:cNvGrpSpPr>
            <a:grpSpLocks/>
          </xdr:cNvGrpSpPr>
        </xdr:nvGrpSpPr>
        <xdr:grpSpPr bwMode="auto">
          <a:xfrm>
            <a:off x="651" y="7"/>
            <a:ext cx="238" cy="102"/>
            <a:chOff x="149" y="33"/>
            <a:chExt cx="238" cy="102"/>
          </a:xfrm>
        </xdr:grpSpPr>
        <xdr:sp macro="" textlink="">
          <xdr:nvSpPr>
            <xdr:cNvPr id="3157" name="Rectangle 44">
              <a:extLst>
                <a:ext uri="{FF2B5EF4-FFF2-40B4-BE49-F238E27FC236}">
                  <a16:creationId xmlns:a16="http://schemas.microsoft.com/office/drawing/2014/main" id="{64D8FDD4-AFD6-EB18-3BD8-FA8B4EC088B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8" y="33"/>
              <a:ext cx="79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3158" name="Rectangle 45">
              <a:extLst>
                <a:ext uri="{FF2B5EF4-FFF2-40B4-BE49-F238E27FC236}">
                  <a16:creationId xmlns:a16="http://schemas.microsoft.com/office/drawing/2014/main" id="{FE99C0A5-E9A0-4BD6-E6A0-2768E8ACB6E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07" y="33"/>
              <a:ext cx="80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2" name="Text Box 46">
              <a:extLst>
                <a:ext uri="{FF2B5EF4-FFF2-40B4-BE49-F238E27FC236}">
                  <a16:creationId xmlns:a16="http://schemas.microsoft.com/office/drawing/2014/main" id="{52032E55-9671-2330-5591-73C179AEA0B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10" y="34"/>
              <a:ext cx="78" cy="23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27432" tIns="45720" rIns="0" bIns="0" anchor="t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000000"/>
                  </a:solidFill>
                  <a:latin typeface="Arial Narrow"/>
                </a:rPr>
                <a:t>Foreman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  <xdr:sp macro="" textlink="">
          <xdr:nvSpPr>
            <xdr:cNvPr id="3160" name="Line 48">
              <a:extLst>
                <a:ext uri="{FF2B5EF4-FFF2-40B4-BE49-F238E27FC236}">
                  <a16:creationId xmlns:a16="http://schemas.microsoft.com/office/drawing/2014/main" id="{10DC4697-9193-A1CC-72D7-625151191016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49" y="59"/>
              <a:ext cx="23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" name="Text Box 46">
              <a:extLst>
                <a:ext uri="{FF2B5EF4-FFF2-40B4-BE49-F238E27FC236}">
                  <a16:creationId xmlns:a16="http://schemas.microsoft.com/office/drawing/2014/main" id="{3B95C5C3-6428-3131-AB95-67082FE8713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29" y="34"/>
              <a:ext cx="76" cy="23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27432" tIns="45720" rIns="0" bIns="0" anchor="t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000000"/>
                  </a:solidFill>
                  <a:latin typeface="Arial Narrow"/>
                </a:rPr>
                <a:t>ESP SEM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</xdr:grpSp>
      <xdr:sp macro="" textlink="">
        <xdr:nvSpPr>
          <xdr:cNvPr id="3152" name="Line 24">
            <a:extLst>
              <a:ext uri="{FF2B5EF4-FFF2-40B4-BE49-F238E27FC236}">
                <a16:creationId xmlns:a16="http://schemas.microsoft.com/office/drawing/2014/main" id="{FE5FB4A3-9FF9-4F87-7452-E300FCD5EEE3}"/>
              </a:ext>
            </a:extLst>
          </xdr:cNvPr>
          <xdr:cNvSpPr>
            <a:spLocks noChangeShapeType="1"/>
          </xdr:cNvSpPr>
        </xdr:nvSpPr>
        <xdr:spPr bwMode="auto">
          <a:xfrm flipH="1">
            <a:off x="891" y="54"/>
            <a:ext cx="2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3153" name="Group 25">
            <a:extLst>
              <a:ext uri="{FF2B5EF4-FFF2-40B4-BE49-F238E27FC236}">
                <a16:creationId xmlns:a16="http://schemas.microsoft.com/office/drawing/2014/main" id="{2BD0A86D-0B11-EFA7-7257-2BFF2FA54769}"/>
              </a:ext>
            </a:extLst>
          </xdr:cNvPr>
          <xdr:cNvGrpSpPr>
            <a:grpSpLocks/>
          </xdr:cNvGrpSpPr>
        </xdr:nvGrpSpPr>
        <xdr:grpSpPr bwMode="auto">
          <a:xfrm>
            <a:off x="696" y="109"/>
            <a:ext cx="267" cy="16"/>
            <a:chOff x="696" y="114"/>
            <a:chExt cx="267" cy="16"/>
          </a:xfrm>
        </xdr:grpSpPr>
        <xdr:sp macro="" textlink="">
          <xdr:nvSpPr>
            <xdr:cNvPr id="3154" name="Line 26">
              <a:extLst>
                <a:ext uri="{FF2B5EF4-FFF2-40B4-BE49-F238E27FC236}">
                  <a16:creationId xmlns:a16="http://schemas.microsoft.com/office/drawing/2014/main" id="{84C79C95-BF40-11E7-F7B4-A8A0FE9671C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696" y="114"/>
              <a:ext cx="0" cy="1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155" name="Line 27">
              <a:extLst>
                <a:ext uri="{FF2B5EF4-FFF2-40B4-BE49-F238E27FC236}">
                  <a16:creationId xmlns:a16="http://schemas.microsoft.com/office/drawing/2014/main" id="{A8A5B685-1075-9595-1AC0-137AC12CA84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696" y="129"/>
              <a:ext cx="266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156" name="Line 28">
              <a:extLst>
                <a:ext uri="{FF2B5EF4-FFF2-40B4-BE49-F238E27FC236}">
                  <a16:creationId xmlns:a16="http://schemas.microsoft.com/office/drawing/2014/main" id="{5D33DFC5-D52E-5EAD-9127-5D62F388B5F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62" y="116"/>
              <a:ext cx="1" cy="13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7</xdr:col>
      <xdr:colOff>820392</xdr:colOff>
      <xdr:row>0</xdr:row>
      <xdr:rowOff>91109</xdr:rowOff>
    </xdr:from>
    <xdr:to>
      <xdr:col>8</xdr:col>
      <xdr:colOff>439780</xdr:colOff>
      <xdr:row>0</xdr:row>
      <xdr:rowOff>310184</xdr:rowOff>
    </xdr:to>
    <xdr:sp macro="" textlink="">
      <xdr:nvSpPr>
        <xdr:cNvPr id="19" name="Text Box 46">
          <a:extLst>
            <a:ext uri="{FF2B5EF4-FFF2-40B4-BE49-F238E27FC236}">
              <a16:creationId xmlns:a16="http://schemas.microsoft.com/office/drawing/2014/main" id="{42B6AC35-FB1D-5843-8D9C-28675794D678}"/>
            </a:ext>
          </a:extLst>
        </xdr:cNvPr>
        <xdr:cNvSpPr txBox="1">
          <a:spLocks noChangeArrowheads="1"/>
        </xdr:cNvSpPr>
      </xdr:nvSpPr>
      <xdr:spPr bwMode="auto">
        <a:xfrm>
          <a:off x="6510130" y="91109"/>
          <a:ext cx="878956" cy="2190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45720" rIns="0" bIns="0" anchor="t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 Narrow"/>
            </a:rPr>
            <a:t>ESC DEM</a:t>
          </a: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 Narrow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tabSelected="1" view="pageLayout" zoomScale="115" zoomScaleNormal="100" zoomScaleSheetLayoutView="115" zoomScalePageLayoutView="115" workbookViewId="0">
      <selection activeCell="J21" sqref="J21"/>
    </sheetView>
  </sheetViews>
  <sheetFormatPr defaultRowHeight="18" x14ac:dyDescent="0.35"/>
  <cols>
    <col min="1" max="1" width="4.140625" style="1" customWidth="1"/>
    <col min="2" max="2" width="4.28515625" style="1" customWidth="1"/>
    <col min="3" max="3" width="20.28515625" style="1" customWidth="1"/>
    <col min="4" max="4" width="4" style="1" customWidth="1"/>
    <col min="5" max="5" width="11.28515625" style="1" customWidth="1"/>
    <col min="6" max="6" width="12.28515625" style="1" customWidth="1"/>
    <col min="7" max="7" width="29.28515625" style="1" customWidth="1"/>
    <col min="8" max="8" width="18.7109375" style="1" customWidth="1"/>
    <col min="9" max="9" width="37.42578125" style="1" customWidth="1"/>
    <col min="10" max="10" width="5.28515625" style="14" customWidth="1"/>
    <col min="11" max="11" width="6" style="1" customWidth="1"/>
    <col min="12" max="12" width="5.42578125" style="1" customWidth="1"/>
    <col min="13" max="13" width="6.28515625" style="1" customWidth="1"/>
    <col min="14" max="16384" width="9.140625" style="1"/>
  </cols>
  <sheetData>
    <row r="1" spans="1:13" ht="97.5" customHeight="1" x14ac:dyDescent="0.35">
      <c r="A1" s="75" t="s">
        <v>59</v>
      </c>
    </row>
    <row r="2" spans="1:13" s="9" customFormat="1" ht="18.75" customHeight="1" x14ac:dyDescent="0.45">
      <c r="A2" s="76" t="s">
        <v>0</v>
      </c>
      <c r="B2" s="53" t="s">
        <v>1</v>
      </c>
      <c r="C2" s="53" t="s">
        <v>87</v>
      </c>
      <c r="D2" s="76" t="s">
        <v>2</v>
      </c>
      <c r="E2" s="53" t="s">
        <v>3</v>
      </c>
      <c r="F2" s="54" t="s">
        <v>60</v>
      </c>
      <c r="G2" s="76" t="s">
        <v>89</v>
      </c>
      <c r="H2" s="55" t="s">
        <v>90</v>
      </c>
      <c r="I2" s="54" t="s">
        <v>92</v>
      </c>
      <c r="J2" s="56" t="s">
        <v>93</v>
      </c>
      <c r="K2" s="78" t="s">
        <v>4</v>
      </c>
      <c r="L2" s="79"/>
      <c r="M2" s="76" t="s">
        <v>56</v>
      </c>
    </row>
    <row r="3" spans="1:13" s="9" customFormat="1" ht="18.75" customHeight="1" x14ac:dyDescent="0.45">
      <c r="A3" s="77"/>
      <c r="B3" s="57" t="s">
        <v>5</v>
      </c>
      <c r="C3" s="57" t="s">
        <v>88</v>
      </c>
      <c r="D3" s="77"/>
      <c r="E3" s="57" t="s">
        <v>6</v>
      </c>
      <c r="F3" s="58" t="s">
        <v>7</v>
      </c>
      <c r="G3" s="77"/>
      <c r="H3" s="58" t="s">
        <v>91</v>
      </c>
      <c r="I3" s="59" t="s">
        <v>8</v>
      </c>
      <c r="J3" s="60"/>
      <c r="K3" s="58">
        <v>4052</v>
      </c>
      <c r="L3" s="59">
        <v>4054</v>
      </c>
      <c r="M3" s="77"/>
    </row>
    <row r="4" spans="1:13" s="9" customFormat="1" ht="18.75" customHeight="1" x14ac:dyDescent="0.35">
      <c r="A4" s="61">
        <v>1</v>
      </c>
      <c r="B4" s="62" t="s">
        <v>30</v>
      </c>
      <c r="C4" s="63" t="s">
        <v>31</v>
      </c>
      <c r="D4" s="61" t="s">
        <v>42</v>
      </c>
      <c r="E4" s="64" t="s">
        <v>79</v>
      </c>
      <c r="F4" s="64" t="s">
        <v>123</v>
      </c>
      <c r="G4" s="65" t="s">
        <v>94</v>
      </c>
      <c r="H4" s="65" t="s">
        <v>110</v>
      </c>
      <c r="I4" s="63" t="s">
        <v>32</v>
      </c>
      <c r="J4" s="61">
        <v>4</v>
      </c>
      <c r="K4" s="66" t="s">
        <v>10</v>
      </c>
      <c r="L4" s="66" t="s">
        <v>10</v>
      </c>
      <c r="M4" s="66">
        <v>2</v>
      </c>
    </row>
    <row r="5" spans="1:13" s="9" customFormat="1" ht="18.75" customHeight="1" x14ac:dyDescent="0.35">
      <c r="A5" s="61">
        <v>2</v>
      </c>
      <c r="B5" s="62" t="s">
        <v>33</v>
      </c>
      <c r="C5" s="63" t="s">
        <v>34</v>
      </c>
      <c r="D5" s="61" t="s">
        <v>42</v>
      </c>
      <c r="E5" s="64" t="s">
        <v>79</v>
      </c>
      <c r="F5" s="64" t="s">
        <v>79</v>
      </c>
      <c r="G5" s="65" t="s">
        <v>118</v>
      </c>
      <c r="H5" s="65" t="s">
        <v>119</v>
      </c>
      <c r="I5" s="63" t="s">
        <v>65</v>
      </c>
      <c r="J5" s="61">
        <v>3</v>
      </c>
      <c r="K5" s="66" t="s">
        <v>10</v>
      </c>
      <c r="L5" s="66" t="s">
        <v>10</v>
      </c>
      <c r="M5" s="66">
        <v>2</v>
      </c>
    </row>
    <row r="6" spans="1:13" s="10" customFormat="1" ht="18.75" customHeight="1" x14ac:dyDescent="0.35">
      <c r="A6" s="61">
        <v>3</v>
      </c>
      <c r="B6" s="62" t="s">
        <v>71</v>
      </c>
      <c r="C6" s="63" t="s">
        <v>80</v>
      </c>
      <c r="D6" s="61" t="s">
        <v>42</v>
      </c>
      <c r="E6" s="67" t="s">
        <v>79</v>
      </c>
      <c r="F6" s="67" t="s">
        <v>79</v>
      </c>
      <c r="G6" s="65" t="s">
        <v>106</v>
      </c>
      <c r="H6" s="65" t="s">
        <v>98</v>
      </c>
      <c r="I6" s="63" t="s">
        <v>61</v>
      </c>
      <c r="J6" s="61">
        <v>1</v>
      </c>
      <c r="K6" s="66" t="s">
        <v>10</v>
      </c>
      <c r="L6" s="66" t="s">
        <v>10</v>
      </c>
      <c r="M6" s="66">
        <v>3</v>
      </c>
    </row>
    <row r="7" spans="1:13" s="9" customFormat="1" ht="18.75" customHeight="1" x14ac:dyDescent="0.35">
      <c r="A7" s="61">
        <v>4</v>
      </c>
      <c r="B7" s="62" t="s">
        <v>11</v>
      </c>
      <c r="C7" s="63" t="s">
        <v>12</v>
      </c>
      <c r="D7" s="61" t="s">
        <v>42</v>
      </c>
      <c r="E7" s="64" t="s">
        <v>81</v>
      </c>
      <c r="F7" s="64" t="s">
        <v>82</v>
      </c>
      <c r="G7" s="65" t="s">
        <v>96</v>
      </c>
      <c r="H7" s="65" t="s">
        <v>95</v>
      </c>
      <c r="I7" s="63" t="s">
        <v>35</v>
      </c>
      <c r="J7" s="61">
        <v>3</v>
      </c>
      <c r="K7" s="66" t="s">
        <v>10</v>
      </c>
      <c r="L7" s="66" t="s">
        <v>10</v>
      </c>
      <c r="M7" s="66">
        <v>2</v>
      </c>
    </row>
    <row r="8" spans="1:13" s="9" customFormat="1" ht="18.75" customHeight="1" x14ac:dyDescent="0.35">
      <c r="A8" s="61">
        <v>5</v>
      </c>
      <c r="B8" s="68" t="s">
        <v>36</v>
      </c>
      <c r="C8" s="63" t="s">
        <v>37</v>
      </c>
      <c r="D8" s="61" t="s">
        <v>42</v>
      </c>
      <c r="E8" s="64" t="s">
        <v>79</v>
      </c>
      <c r="F8" s="64" t="s">
        <v>79</v>
      </c>
      <c r="G8" s="65" t="s">
        <v>118</v>
      </c>
      <c r="H8" s="65" t="s">
        <v>95</v>
      </c>
      <c r="I8" s="63" t="s">
        <v>55</v>
      </c>
      <c r="J8" s="61">
        <v>4</v>
      </c>
      <c r="K8" s="66" t="s">
        <v>10</v>
      </c>
      <c r="L8" s="66" t="s">
        <v>10</v>
      </c>
      <c r="M8" s="66">
        <v>5</v>
      </c>
    </row>
    <row r="9" spans="1:13" s="9" customFormat="1" ht="18.75" customHeight="1" x14ac:dyDescent="0.35">
      <c r="A9" s="61">
        <v>6</v>
      </c>
      <c r="B9" s="69" t="s">
        <v>38</v>
      </c>
      <c r="C9" s="63" t="s">
        <v>39</v>
      </c>
      <c r="D9" s="61" t="s">
        <v>42</v>
      </c>
      <c r="E9" s="64" t="s">
        <v>79</v>
      </c>
      <c r="F9" s="67" t="s">
        <v>123</v>
      </c>
      <c r="G9" s="65" t="s">
        <v>109</v>
      </c>
      <c r="H9" s="65" t="s">
        <v>98</v>
      </c>
      <c r="I9" s="65" t="s">
        <v>63</v>
      </c>
      <c r="J9" s="61">
        <v>1</v>
      </c>
      <c r="K9" s="66" t="s">
        <v>10</v>
      </c>
      <c r="L9" s="66" t="s">
        <v>10</v>
      </c>
      <c r="M9" s="66">
        <v>9</v>
      </c>
    </row>
    <row r="10" spans="1:13" s="10" customFormat="1" ht="18.75" customHeight="1" x14ac:dyDescent="0.35">
      <c r="A10" s="61">
        <v>7</v>
      </c>
      <c r="B10" s="69" t="s">
        <v>40</v>
      </c>
      <c r="C10" s="70" t="s">
        <v>41</v>
      </c>
      <c r="D10" s="71" t="s">
        <v>42</v>
      </c>
      <c r="E10" s="72" t="s">
        <v>124</v>
      </c>
      <c r="F10" s="67" t="s">
        <v>123</v>
      </c>
      <c r="G10" s="73" t="s">
        <v>99</v>
      </c>
      <c r="H10" s="65" t="s">
        <v>98</v>
      </c>
      <c r="I10" s="65" t="s">
        <v>63</v>
      </c>
      <c r="J10" s="61">
        <v>1</v>
      </c>
      <c r="K10" s="66" t="s">
        <v>10</v>
      </c>
      <c r="L10" s="66" t="s">
        <v>10</v>
      </c>
      <c r="M10" s="66">
        <v>9</v>
      </c>
    </row>
    <row r="11" spans="1:13" s="10" customFormat="1" ht="18.75" customHeight="1" x14ac:dyDescent="0.35">
      <c r="A11" s="61">
        <v>8</v>
      </c>
      <c r="B11" s="68" t="s">
        <v>45</v>
      </c>
      <c r="C11" s="70" t="s">
        <v>46</v>
      </c>
      <c r="D11" s="71" t="s">
        <v>9</v>
      </c>
      <c r="E11" s="72" t="s">
        <v>64</v>
      </c>
      <c r="F11" s="72" t="s">
        <v>66</v>
      </c>
      <c r="G11" s="73" t="s">
        <v>102</v>
      </c>
      <c r="H11" s="73" t="s">
        <v>120</v>
      </c>
      <c r="I11" s="70" t="s">
        <v>83</v>
      </c>
      <c r="J11" s="71">
        <v>1</v>
      </c>
      <c r="K11" s="74" t="s">
        <v>10</v>
      </c>
      <c r="L11" s="74" t="s">
        <v>10</v>
      </c>
      <c r="M11" s="74">
        <v>9</v>
      </c>
    </row>
    <row r="12" spans="1:13" s="9" customFormat="1" ht="18.75" customHeight="1" x14ac:dyDescent="0.35">
      <c r="A12" s="61">
        <v>9</v>
      </c>
      <c r="B12" s="68" t="s">
        <v>44</v>
      </c>
      <c r="C12" s="63" t="s">
        <v>125</v>
      </c>
      <c r="D12" s="61" t="s">
        <v>42</v>
      </c>
      <c r="E12" s="64" t="s">
        <v>126</v>
      </c>
      <c r="F12" s="64" t="s">
        <v>123</v>
      </c>
      <c r="G12" s="65" t="s">
        <v>100</v>
      </c>
      <c r="H12" s="65" t="s">
        <v>101</v>
      </c>
      <c r="I12" s="63" t="s">
        <v>43</v>
      </c>
      <c r="J12" s="61">
        <v>2</v>
      </c>
      <c r="K12" s="66" t="s">
        <v>10</v>
      </c>
      <c r="L12" s="66" t="s">
        <v>10</v>
      </c>
      <c r="M12" s="66">
        <v>9</v>
      </c>
    </row>
    <row r="13" spans="1:13" s="9" customFormat="1" ht="18.75" customHeight="1" x14ac:dyDescent="0.35">
      <c r="A13" s="61">
        <v>10</v>
      </c>
      <c r="B13" s="68" t="s">
        <v>48</v>
      </c>
      <c r="C13" s="63" t="s">
        <v>127</v>
      </c>
      <c r="D13" s="61" t="s">
        <v>42</v>
      </c>
      <c r="E13" s="67" t="s">
        <v>126</v>
      </c>
      <c r="F13" s="67" t="s">
        <v>123</v>
      </c>
      <c r="G13" s="63" t="s">
        <v>111</v>
      </c>
      <c r="H13" s="63" t="s">
        <v>108</v>
      </c>
      <c r="I13" s="63" t="s">
        <v>63</v>
      </c>
      <c r="J13" s="61">
        <v>1</v>
      </c>
      <c r="K13" s="66" t="s">
        <v>10</v>
      </c>
      <c r="L13" s="66" t="s">
        <v>10</v>
      </c>
      <c r="M13" s="66">
        <v>8</v>
      </c>
    </row>
    <row r="14" spans="1:13" s="10" customFormat="1" ht="18.75" customHeight="1" x14ac:dyDescent="0.35">
      <c r="A14" s="61">
        <v>11</v>
      </c>
      <c r="B14" s="68" t="s">
        <v>49</v>
      </c>
      <c r="C14" s="63" t="s">
        <v>50</v>
      </c>
      <c r="D14" s="61" t="s">
        <v>42</v>
      </c>
      <c r="E14" s="67" t="s">
        <v>79</v>
      </c>
      <c r="F14" s="67" t="s">
        <v>79</v>
      </c>
      <c r="G14" s="65" t="s">
        <v>105</v>
      </c>
      <c r="H14" s="65" t="s">
        <v>97</v>
      </c>
      <c r="I14" s="63" t="s">
        <v>57</v>
      </c>
      <c r="J14" s="61">
        <v>1</v>
      </c>
      <c r="K14" s="66" t="s">
        <v>10</v>
      </c>
      <c r="L14" s="66" t="s">
        <v>10</v>
      </c>
      <c r="M14" s="66">
        <v>2</v>
      </c>
    </row>
    <row r="15" spans="1:13" s="9" customFormat="1" ht="18.75" customHeight="1" x14ac:dyDescent="0.35">
      <c r="A15" s="61">
        <v>12</v>
      </c>
      <c r="B15" s="68" t="s">
        <v>47</v>
      </c>
      <c r="C15" s="63" t="s">
        <v>58</v>
      </c>
      <c r="D15" s="61" t="s">
        <v>9</v>
      </c>
      <c r="E15" s="67" t="s">
        <v>67</v>
      </c>
      <c r="F15" s="67" t="s">
        <v>67</v>
      </c>
      <c r="G15" s="65" t="s">
        <v>103</v>
      </c>
      <c r="H15" s="65" t="s">
        <v>121</v>
      </c>
      <c r="I15" s="63" t="s">
        <v>68</v>
      </c>
      <c r="J15" s="61">
        <v>2</v>
      </c>
      <c r="K15" s="66" t="s">
        <v>10</v>
      </c>
      <c r="L15" s="66" t="s">
        <v>10</v>
      </c>
      <c r="M15" s="66">
        <v>9</v>
      </c>
    </row>
    <row r="16" spans="1:13" s="9" customFormat="1" ht="18.75" customHeight="1" x14ac:dyDescent="0.35">
      <c r="A16" s="61">
        <v>13</v>
      </c>
      <c r="B16" s="68" t="s">
        <v>51</v>
      </c>
      <c r="C16" s="63" t="s">
        <v>52</v>
      </c>
      <c r="D16" s="61" t="s">
        <v>9</v>
      </c>
      <c r="E16" s="67" t="s">
        <v>70</v>
      </c>
      <c r="F16" s="67" t="s">
        <v>62</v>
      </c>
      <c r="G16" s="65" t="s">
        <v>105</v>
      </c>
      <c r="H16" s="65" t="s">
        <v>97</v>
      </c>
      <c r="I16" s="63" t="s">
        <v>57</v>
      </c>
      <c r="J16" s="61">
        <v>2</v>
      </c>
      <c r="K16" s="66" t="s">
        <v>10</v>
      </c>
      <c r="L16" s="66" t="s">
        <v>10</v>
      </c>
      <c r="M16" s="66">
        <v>2</v>
      </c>
    </row>
    <row r="17" spans="1:13" s="9" customFormat="1" ht="18.75" customHeight="1" x14ac:dyDescent="0.35">
      <c r="A17" s="61">
        <v>14</v>
      </c>
      <c r="B17" s="68" t="s">
        <v>113</v>
      </c>
      <c r="C17" s="63" t="s">
        <v>114</v>
      </c>
      <c r="D17" s="61" t="s">
        <v>42</v>
      </c>
      <c r="E17" s="67" t="s">
        <v>115</v>
      </c>
      <c r="F17" s="67" t="s">
        <v>116</v>
      </c>
      <c r="G17" s="65" t="s">
        <v>117</v>
      </c>
      <c r="H17" s="65" t="s">
        <v>122</v>
      </c>
      <c r="I17" s="63" t="s">
        <v>112</v>
      </c>
      <c r="J17" s="61">
        <v>1</v>
      </c>
      <c r="K17" s="66" t="s">
        <v>10</v>
      </c>
      <c r="L17" s="66" t="s">
        <v>10</v>
      </c>
      <c r="M17" s="66">
        <v>9</v>
      </c>
    </row>
    <row r="18" spans="1:13" s="9" customFormat="1" ht="18.75" customHeight="1" x14ac:dyDescent="0.35">
      <c r="A18" s="61">
        <v>15</v>
      </c>
      <c r="B18" s="68" t="s">
        <v>72</v>
      </c>
      <c r="C18" s="63" t="s">
        <v>73</v>
      </c>
      <c r="D18" s="61" t="s">
        <v>42</v>
      </c>
      <c r="E18" s="67" t="s">
        <v>126</v>
      </c>
      <c r="F18" s="67" t="s">
        <v>123</v>
      </c>
      <c r="G18" s="65" t="s">
        <v>107</v>
      </c>
      <c r="H18" s="65" t="s">
        <v>108</v>
      </c>
      <c r="I18" s="63" t="s">
        <v>61</v>
      </c>
      <c r="J18" s="61">
        <v>1</v>
      </c>
      <c r="K18" s="66" t="s">
        <v>10</v>
      </c>
      <c r="L18" s="66" t="s">
        <v>10</v>
      </c>
      <c r="M18" s="66">
        <v>9</v>
      </c>
    </row>
    <row r="19" spans="1:13" s="9" customFormat="1" ht="18.75" customHeight="1" x14ac:dyDescent="0.35">
      <c r="A19" s="61">
        <v>16</v>
      </c>
      <c r="B19" s="68" t="s">
        <v>84</v>
      </c>
      <c r="C19" s="63" t="s">
        <v>85</v>
      </c>
      <c r="D19" s="61" t="s">
        <v>42</v>
      </c>
      <c r="E19" s="67" t="s">
        <v>79</v>
      </c>
      <c r="F19" s="67" t="s">
        <v>86</v>
      </c>
      <c r="G19" s="65" t="s">
        <v>104</v>
      </c>
      <c r="H19" s="65" t="s">
        <v>112</v>
      </c>
      <c r="I19" s="63" t="s">
        <v>69</v>
      </c>
      <c r="J19" s="61">
        <v>1</v>
      </c>
      <c r="K19" s="66" t="s">
        <v>10</v>
      </c>
      <c r="L19" s="66" t="s">
        <v>10</v>
      </c>
      <c r="M19" s="66">
        <v>9</v>
      </c>
    </row>
    <row r="20" spans="1:13" ht="18.75" customHeight="1" x14ac:dyDescent="0.35">
      <c r="A20" s="15"/>
      <c r="B20" s="16"/>
      <c r="C20" s="17"/>
      <c r="D20" s="15"/>
      <c r="E20" s="18"/>
      <c r="F20" s="19"/>
      <c r="G20" s="20" t="s">
        <v>78</v>
      </c>
      <c r="H20" s="20"/>
      <c r="I20" s="17"/>
      <c r="J20" s="20">
        <f>SUM(J4:J19)</f>
        <v>29</v>
      </c>
      <c r="K20" s="15"/>
      <c r="L20" s="15"/>
      <c r="M20" s="17"/>
    </row>
    <row r="21" spans="1:13" ht="18.75" customHeight="1" x14ac:dyDescent="0.45">
      <c r="A21" s="21"/>
      <c r="B21" s="22" t="s">
        <v>53</v>
      </c>
      <c r="C21" s="23"/>
      <c r="D21" s="24"/>
      <c r="G21" s="24"/>
      <c r="H21" s="22" t="s">
        <v>54</v>
      </c>
      <c r="I21" s="22"/>
      <c r="J21" s="11"/>
      <c r="K21" s="2"/>
      <c r="L21" s="2"/>
      <c r="M21" s="3"/>
    </row>
    <row r="22" spans="1:13" ht="18.75" customHeight="1" x14ac:dyDescent="0.45">
      <c r="A22" s="25"/>
      <c r="B22" s="26" t="s">
        <v>27</v>
      </c>
      <c r="C22" s="27" t="s">
        <v>74</v>
      </c>
      <c r="D22" s="26" t="s">
        <v>29</v>
      </c>
      <c r="E22" s="27" t="s">
        <v>75</v>
      </c>
      <c r="G22" s="31"/>
      <c r="H22" s="29" t="s">
        <v>76</v>
      </c>
      <c r="I22" s="30"/>
      <c r="J22" s="12"/>
      <c r="K22" s="4"/>
      <c r="L22" s="5"/>
      <c r="M22" s="6"/>
    </row>
    <row r="23" spans="1:13" ht="18.75" customHeight="1" x14ac:dyDescent="0.45">
      <c r="A23" s="25"/>
      <c r="B23" s="26" t="s">
        <v>28</v>
      </c>
      <c r="C23" s="27" t="s">
        <v>74</v>
      </c>
      <c r="D23" s="28"/>
      <c r="G23" s="31"/>
      <c r="H23" s="29" t="s">
        <v>77</v>
      </c>
      <c r="I23" s="32"/>
      <c r="J23" s="12"/>
      <c r="K23" s="4"/>
      <c r="L23" s="5"/>
      <c r="M23" s="6"/>
    </row>
    <row r="24" spans="1:13" ht="18.75" customHeight="1" x14ac:dyDescent="0.45">
      <c r="A24" s="42" t="s">
        <v>13</v>
      </c>
      <c r="B24" s="43"/>
      <c r="C24" s="44"/>
      <c r="D24" s="43"/>
      <c r="E24" s="43"/>
      <c r="F24" s="45"/>
      <c r="G24" s="33"/>
      <c r="H24" s="33"/>
      <c r="I24" s="33"/>
      <c r="J24" s="46"/>
      <c r="K24" s="47"/>
      <c r="L24" s="47"/>
      <c r="M24" s="48"/>
    </row>
    <row r="25" spans="1:13" ht="18.75" customHeight="1" x14ac:dyDescent="0.4">
      <c r="A25" s="36" t="s">
        <v>14</v>
      </c>
      <c r="B25" s="34"/>
      <c r="C25" s="35" t="s">
        <v>15</v>
      </c>
      <c r="D25" s="34"/>
      <c r="E25" s="34"/>
      <c r="F25" s="34"/>
      <c r="G25" s="35" t="s">
        <v>16</v>
      </c>
      <c r="H25" s="35"/>
      <c r="I25" s="34"/>
      <c r="J25" s="13"/>
      <c r="K25" s="7"/>
      <c r="L25" s="7"/>
      <c r="M25" s="8"/>
    </row>
    <row r="26" spans="1:13" ht="18.75" customHeight="1" x14ac:dyDescent="0.45">
      <c r="A26" s="36" t="s">
        <v>17</v>
      </c>
      <c r="B26" s="34"/>
      <c r="C26" s="35" t="s">
        <v>18</v>
      </c>
      <c r="D26" s="34"/>
      <c r="E26" s="34"/>
      <c r="F26" s="34"/>
      <c r="G26" s="37" t="s">
        <v>19</v>
      </c>
      <c r="H26" s="37"/>
      <c r="I26" s="34"/>
      <c r="J26" s="13"/>
      <c r="K26" s="7"/>
      <c r="L26" s="7"/>
      <c r="M26" s="8"/>
    </row>
    <row r="27" spans="1:13" ht="18.75" customHeight="1" x14ac:dyDescent="0.45">
      <c r="A27" s="38" t="s">
        <v>20</v>
      </c>
      <c r="B27" s="39"/>
      <c r="C27" s="37" t="s">
        <v>21</v>
      </c>
      <c r="D27" s="39"/>
      <c r="E27" s="34"/>
      <c r="F27" s="34"/>
      <c r="G27" s="35" t="s">
        <v>22</v>
      </c>
      <c r="H27" s="35"/>
      <c r="I27" s="34"/>
      <c r="J27" s="13"/>
      <c r="K27" s="7"/>
      <c r="L27" s="7"/>
      <c r="M27" s="8"/>
    </row>
    <row r="28" spans="1:13" ht="18.75" customHeight="1" x14ac:dyDescent="0.4">
      <c r="A28" s="36" t="s">
        <v>23</v>
      </c>
      <c r="B28" s="34"/>
      <c r="C28" s="35" t="s">
        <v>24</v>
      </c>
      <c r="D28" s="34"/>
      <c r="E28" s="34"/>
      <c r="F28" s="34"/>
      <c r="G28" s="35" t="s">
        <v>25</v>
      </c>
      <c r="H28" s="35"/>
      <c r="I28" s="34"/>
      <c r="J28" s="13"/>
      <c r="K28" s="7"/>
      <c r="L28" s="7"/>
      <c r="M28" s="8"/>
    </row>
    <row r="29" spans="1:13" ht="20.25" x14ac:dyDescent="0.4">
      <c r="A29" s="49"/>
      <c r="B29" s="50"/>
      <c r="C29" s="50"/>
      <c r="D29" s="50"/>
      <c r="E29" s="50"/>
      <c r="F29" s="50"/>
      <c r="G29" s="40" t="s">
        <v>26</v>
      </c>
      <c r="H29" s="40"/>
      <c r="I29" s="41"/>
      <c r="J29" s="51"/>
      <c r="K29" s="50"/>
      <c r="L29" s="50"/>
      <c r="M29" s="52"/>
    </row>
  </sheetData>
  <mergeCells count="5">
    <mergeCell ref="A2:A3"/>
    <mergeCell ref="D2:D3"/>
    <mergeCell ref="K2:L2"/>
    <mergeCell ref="M2:M3"/>
    <mergeCell ref="G2:G3"/>
  </mergeCells>
  <conditionalFormatting sqref="B2:B65536 D22">
    <cfRule type="expression" dxfId="1" priority="1" stopIfTrue="1">
      <formula>AND(COUNTIF($B$2:$B$65536, B2)+COUNTIF($D$22:$D$22, B2)&gt;1,NOT(ISBLANK(B2)))</formula>
    </cfRule>
    <cfRule type="expression" dxfId="0" priority="2" stopIfTrue="1">
      <formula>AND(COUNTIF($B$2:$B$65536, B2)+COUNTIF($D$22:$D$22, B2)&gt;1,NOT(ISBLANK(B2)))</formula>
    </cfRule>
  </conditionalFormatting>
  <pageMargins left="0.35343750000000002" right="0.10875" top="0.5043478260869565" bottom="0.35" header="0.23" footer="7.0000000000000007E-2"/>
  <pageSetup paperSize="9" scale="87" orientation="landscape" horizontalDpi="300" verticalDpi="300" r:id="rId1"/>
  <headerFooter>
    <oddHeader>&amp;L&amp;"FreesiaUPC,Bold"&amp;18REV. NO. AG</oddHeader>
    <oddFooter>&amp;C&amp;"FreesiaUPC,Regular"&amp;12List of ESP chemical requisition and installing registration records&amp;R&amp;"FreesiaUPC,Regular"&amp;12PAGE &amp;P OF 1</oddFooter>
  </headerFooter>
  <rowBreaks count="1" manualBreakCount="1">
    <brk id="30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THตัด</vt:lpstr>
      <vt:lpstr>THตัด!Print_Area</vt:lpstr>
      <vt:lpstr>THตัด!Print_Titles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 Phakakaew Wichitr</dc:creator>
  <cp:lastModifiedBy>SUTTHIPONG TANGMONGKHONCHAROEN/SUTTHIPONG TANGMONGKHON</cp:lastModifiedBy>
  <cp:lastPrinted>2024-10-15T02:48:00Z</cp:lastPrinted>
  <dcterms:created xsi:type="dcterms:W3CDTF">2016-09-21T03:27:10Z</dcterms:created>
  <dcterms:modified xsi:type="dcterms:W3CDTF">2025-01-20T09:30:56Z</dcterms:modified>
</cp:coreProperties>
</file>