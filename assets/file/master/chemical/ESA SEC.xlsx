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13_ncr:1_{F134E7B0-FB56-401B-AFC3-64222D227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6" r:id="rId1"/>
  </sheets>
  <definedNames>
    <definedName name="_xlnm.Print_Area" localSheetId="0">THตัด!$A$1:$M$50</definedName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6" l="1"/>
</calcChain>
</file>

<file path=xl/sharedStrings.xml><?xml version="1.0" encoding="utf-8"?>
<sst xmlns="http://schemas.openxmlformats.org/spreadsheetml/2006/main" count="349" uniqueCount="176">
  <si>
    <t>NO</t>
  </si>
  <si>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</si>
  <si>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</si>
  <si>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</si>
  <si>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</si>
  <si>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</si>
  <si>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</si>
  <si>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</si>
  <si>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</si>
  <si>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</si>
  <si>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Remark : Classification of Hazardous Substances (ประเภทของวัตถุอันตราย)</t>
  </si>
  <si>
    <t>Class 1</t>
  </si>
  <si>
    <t>Explosives (วัตถุระเบิด)</t>
  </si>
  <si>
    <t>Class 5   Oxidizers and organic peroxides (ตัวเติมออกซิเจนและสารประกอบอินทรีย์เปอร์ออกไซด์)</t>
  </si>
  <si>
    <t>Class 2</t>
  </si>
  <si>
    <t>Gases (ก๊าซต่างๆ)</t>
  </si>
  <si>
    <t>Class 6   Poisonous material and Infectious substances (***สารพิษและสารที่ทำให้เกิดโรคติดต่อ***)</t>
  </si>
  <si>
    <t>Class 3</t>
  </si>
  <si>
    <t>Flammable Liquid (ของเหลวไวไฟ)</t>
  </si>
  <si>
    <t>Class 7   Radioactive materials (สารกัมมันตรังสี)</t>
  </si>
  <si>
    <t>Class 4</t>
  </si>
  <si>
    <t>Flammable Solid (ของแข็งลุกติดไฟได้)</t>
  </si>
  <si>
    <t>Class 8   Corrosive materials (สารกัดกร่อน)</t>
  </si>
  <si>
    <t>Class 9   Miscellaneous hazardous materials (สารหรือวัตถุอื่นที่อาจเป็นอันตรายได้)</t>
  </si>
  <si>
    <t>Acetylene gas</t>
  </si>
  <si>
    <t>Oxygen gas</t>
  </si>
  <si>
    <t>A</t>
  </si>
  <si>
    <t>CLASS</t>
  </si>
  <si>
    <t>Denka Hardloc C-370-08 A/B</t>
  </si>
  <si>
    <t>H702R (6A)</t>
  </si>
  <si>
    <t>Three Bond 1401 (J9114)</t>
  </si>
  <si>
    <t xml:space="preserve">Argon Gas </t>
  </si>
  <si>
    <t>TKP Primer no.AmecSP-N.5.5</t>
  </si>
  <si>
    <t>Moresco Proof OP-91</t>
  </si>
  <si>
    <t>Enclean GT Exxsol DSP 80/100</t>
  </si>
  <si>
    <t>Shell Gadus S2 V100</t>
  </si>
  <si>
    <t>Marsh K stencil ink</t>
  </si>
  <si>
    <t>Washing Thinner</t>
  </si>
  <si>
    <t>H201 (1D) Joint</t>
  </si>
  <si>
    <t>H701C(6A), H704C(10A)</t>
  </si>
  <si>
    <t>H203R(8D-9D)</t>
  </si>
  <si>
    <t>Carbondioxide</t>
  </si>
  <si>
    <t>H5 (Drive unit)(3B)</t>
  </si>
  <si>
    <t>H203R(N6), 4C</t>
  </si>
  <si>
    <t>H203 (4C)</t>
  </si>
  <si>
    <t>LIST OF ESA CHEMICAL SDS REGISTRATION RECORDS</t>
  </si>
  <si>
    <t>SDS</t>
  </si>
  <si>
    <t>10 Nov. 2003</t>
  </si>
  <si>
    <t>20 Nov. 2007</t>
  </si>
  <si>
    <t>11 Jan.2022</t>
  </si>
  <si>
    <t>16 Sep.1998</t>
  </si>
  <si>
    <t>31 Oct.2000</t>
  </si>
  <si>
    <t>8 Feb.2000</t>
  </si>
  <si>
    <t>9 Feb.2000</t>
  </si>
  <si>
    <t>20 Jan.2014</t>
  </si>
  <si>
    <t>5 Jun.2013</t>
  </si>
  <si>
    <t>1 Nov.2023</t>
  </si>
  <si>
    <t>H201 (3D), H2 Pit 6C</t>
  </si>
  <si>
    <t>14 Dec.2023</t>
  </si>
  <si>
    <t>Clean super 285N</t>
  </si>
  <si>
    <t>11 Jan.2000</t>
  </si>
  <si>
    <t>5 Jan.2024</t>
  </si>
  <si>
    <t>15 Jan.2024</t>
  </si>
  <si>
    <t>B</t>
  </si>
  <si>
    <t>All star P-Top Stepboard Yellow (A)</t>
  </si>
  <si>
    <t>All star P-Top (B)</t>
  </si>
  <si>
    <t>AS-2900 (Thinner)</t>
  </si>
  <si>
    <t>ทินเนอร์สำหรับเช็ดชิ้นงาน</t>
  </si>
  <si>
    <t xml:space="preserve">สีสำหรับพ่นงาน Truss </t>
  </si>
  <si>
    <t>Total</t>
  </si>
  <si>
    <t>Truss Painting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</si>
  <si>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</si>
  <si>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</si>
  <si>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</si>
  <si>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</si>
  <si>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กระบวนการ</t>
  </si>
  <si>
    <t>จุดจัดเก็บ</t>
  </si>
  <si>
    <t>จำนวน</t>
  </si>
  <si>
    <t xml:space="preserve">ถังก๊าซรถเข็นใช้เชื่อม,ตัด ชิ้นงาน </t>
  </si>
  <si>
    <t>ก๊าซใช้ในงานเชื่อมชิ้นงาน</t>
  </si>
  <si>
    <t>กาวยึดติดชิ้นงาน</t>
  </si>
  <si>
    <t>น้ำมันหล่อลื่น</t>
  </si>
  <si>
    <t>Pit Ass'y</t>
  </si>
  <si>
    <t>กาวหยอดป้องกันสกูรคลายตัว</t>
  </si>
  <si>
    <t>น้ำยาวานิช ชุบชิ้นงานกันสนิม</t>
  </si>
  <si>
    <t>Truss Joint work</t>
  </si>
  <si>
    <t>กาวซิลิโคนเอนกประสงค์</t>
  </si>
  <si>
    <t>Cooking KE-45-T</t>
  </si>
  <si>
    <t>หมึกสำหรับสกรีนบน Truss Joint</t>
  </si>
  <si>
    <t>ใช้ทำความสะอาด Rail Truss (Joint)</t>
  </si>
  <si>
    <t>สีใช้ทาซ่อมสี  Truss (PIT)</t>
  </si>
  <si>
    <t>น้ำยาป้องกันสนิม</t>
  </si>
  <si>
    <t>น้ำมันหล่อลื่นเครื่องจักร</t>
  </si>
  <si>
    <t>ใช้ทำความสะอาดเครื่องจักร</t>
  </si>
  <si>
    <t>ก๊าซใช้ในงานเชื่อม,ตัด ชิ้นงาน</t>
  </si>
  <si>
    <t>Truss Painting Booth</t>
  </si>
  <si>
    <t>DNT Thinner #32</t>
  </si>
  <si>
    <t>Primight Type 1 Part A</t>
  </si>
  <si>
    <t>Neo Celva No.7051 Thinner</t>
  </si>
  <si>
    <t>Thinner For SP-N5.5 (IMP)</t>
  </si>
  <si>
    <t>Aclose Super AMEC Thinner</t>
  </si>
  <si>
    <t>Retan KP-80 Hardener</t>
  </si>
  <si>
    <t>No.1 Amilac No.AMEC HN-10</t>
  </si>
  <si>
    <t>TKP Primer No.SP-2.5Y 8/12</t>
  </si>
  <si>
    <t>Three Bond 1303N</t>
  </si>
  <si>
    <t>Inner Deck / Skirt Guard</t>
  </si>
  <si>
    <t>Pit Ass'y/ Spocket Ass'y / Joint Ass'y /Reducer</t>
  </si>
  <si>
    <t>กาวใช้หยอดกันเกลียวตลาย</t>
  </si>
  <si>
    <t>Drive Unit</t>
  </si>
  <si>
    <t>Pit Ass'y, Spocket Ass'y/ Reducer / Joint Ass'y</t>
  </si>
  <si>
    <t>12 Apr.2023</t>
  </si>
  <si>
    <t>Noritake Cool NK-77</t>
  </si>
  <si>
    <t>10 Jul.2023</t>
  </si>
  <si>
    <t>น้ำมันหล่อเย็นเครื่องเจาะ</t>
  </si>
  <si>
    <t>เครื่องเจาะ H4BD</t>
  </si>
  <si>
    <t>Nox Rust 366</t>
  </si>
  <si>
    <t>20 Jun.2023</t>
  </si>
  <si>
    <t>น้ำมันกันสนิม</t>
  </si>
  <si>
    <t>Reducer</t>
  </si>
  <si>
    <t>17 Jan.2014</t>
  </si>
  <si>
    <t>ใช้ทำความสะอาดชิ้นงาน</t>
  </si>
  <si>
    <t>Blanking Oil</t>
  </si>
  <si>
    <t>7 Mar.2000</t>
  </si>
  <si>
    <t>ใช้ทาหล่อลื่นดอกสว่าน</t>
  </si>
  <si>
    <t>เครื่องเจาะ BD11</t>
  </si>
  <si>
    <t>Aclose Super AMEC Black semi gloss</t>
  </si>
  <si>
    <t>สีดำ ใช้ทาชิ้นงาน</t>
  </si>
  <si>
    <t>Floor Plate/ Truss Painting</t>
  </si>
  <si>
    <t>Deck Board/ Skirt Guard /Truss Paint</t>
  </si>
  <si>
    <t>สีทารองพื้นชิ้นงาน</t>
  </si>
  <si>
    <t>บูธ Truss Painting</t>
  </si>
  <si>
    <t>ใช้ปรับความหนืดสีคู่กับ Primight</t>
  </si>
  <si>
    <t>15 Jan.2009</t>
  </si>
  <si>
    <t>ทินเนอร์สำหรับผสมสี Neo Celva</t>
  </si>
  <si>
    <t>3 Jan.2024</t>
  </si>
  <si>
    <t>ทินเนอร์ใช้ปรับความหนืดสี</t>
  </si>
  <si>
    <t>ทินเนอร์สำหรับผสมสี</t>
  </si>
  <si>
    <t>บูธ Truss Painting /Sprocket Ass'y</t>
  </si>
  <si>
    <t>VanishV337-52</t>
  </si>
  <si>
    <t xml:space="preserve">H706R(6A, 14B) </t>
  </si>
  <si>
    <t>14 Feb.2023</t>
  </si>
  <si>
    <t>15 Feb.2023</t>
  </si>
  <si>
    <t>H5 (3B)</t>
  </si>
  <si>
    <t>H7 Deck Board</t>
  </si>
  <si>
    <t>H6 (10A)</t>
  </si>
  <si>
    <t>H5WM12 (7B-8B)</t>
  </si>
  <si>
    <t>H5 (Drive unit)(7B)/(3B)</t>
  </si>
  <si>
    <t>Truss Painting/ H710A</t>
  </si>
  <si>
    <t>Truss Joint</t>
  </si>
  <si>
    <t>Truss Painting, H201 (1D) ,Joint  PIT(9D), H4(03B), H7(10A)</t>
  </si>
  <si>
    <t>H2 Pit (9D), H201Joint (1D), Truss Painting</t>
  </si>
  <si>
    <t>H4(4A,4B)</t>
  </si>
  <si>
    <t>Pit Ass'y, Step Chain</t>
  </si>
  <si>
    <t>H2 Pit (9C)</t>
  </si>
  <si>
    <t>Truss Painting, H5(3B)</t>
  </si>
  <si>
    <t>H2 Pit(6D),  H4(3B)</t>
  </si>
  <si>
    <t>H5 Gear Reducer</t>
  </si>
  <si>
    <t>Shell Omala Oil 100</t>
  </si>
  <si>
    <t>Shell Tellus S2 MX68</t>
  </si>
  <si>
    <t>น้ำมันเกียร์</t>
  </si>
  <si>
    <t>H5 HR01 (07B)</t>
  </si>
  <si>
    <t>H5 (7B)</t>
  </si>
  <si>
    <t>Pit Ass'y, H7 Packing</t>
  </si>
  <si>
    <t>H202C (09C)</t>
  </si>
  <si>
    <t>15 Oct.2024</t>
  </si>
  <si>
    <t>1 Jul.1998</t>
  </si>
  <si>
    <t>11 Dec.2023</t>
  </si>
  <si>
    <t>Spocket Ass'y/ Drive Unit/ Reducer /   Floor plate</t>
  </si>
  <si>
    <t xml:space="preserve">CONTROLLER : Mr.Chanchai </t>
  </si>
  <si>
    <t>NTBX-200F</t>
  </si>
  <si>
    <t>10 Jan.2025</t>
  </si>
  <si>
    <t>15 Jan.2025</t>
  </si>
  <si>
    <t>Thinner NTB-3200</t>
  </si>
  <si>
    <t>สีพ่นชิ้นงานบันไดเลื่อน item 652</t>
  </si>
  <si>
    <t>ทินเนอร์สำหรับผสมสีพ่นชิ้นงาน item 652</t>
  </si>
  <si>
    <t xml:space="preserve">Sub Ass'y /Drive Unit/ Packing Ass'y / Floor Plate / Centering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</si>
</sst>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d\ mmm\ yy;@"/>
    <numFmt numFmtId="165" formatCode="000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FreesiaUPC"/>
      <family val="2"/>
      <charset val="222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2"/>
      <name val="FreesiaUPC"/>
      <family val="2"/>
      <charset val="222"/>
    </font>
    <font>
      <sz val="11"/>
      <name val="FreesiaUPC"/>
      <family val="2"/>
      <charset val="222"/>
    </font>
    <font>
      <b/>
      <sz val="11"/>
      <name val="FreesiaUPC"/>
      <family val="2"/>
      <charset val="222"/>
    </font>
    <font>
      <b/>
      <sz val="10"/>
      <name val="FreesiaUPC"/>
      <family val="2"/>
    </font>
    <font>
      <sz val="12"/>
      <name val="FreesiaUPC"/>
      <family val="2"/>
    </font>
    <font>
      <b/>
      <sz val="12"/>
      <name val="FreesiaUPC"/>
      <family val="2"/>
    </font>
    <font>
      <b/>
      <sz val="14"/>
      <name val="FreesiaUPC"/>
      <family val="2"/>
      <charset val="222"/>
    </font>
    <font>
      <b/>
      <sz val="14"/>
      <color theme="1"/>
      <name val="FreesiaUPC"/>
      <family val="2"/>
    </font>
    <font>
      <b/>
      <sz val="18"/>
      <color theme="1"/>
      <name val="FreesiaUPC"/>
      <family val="2"/>
    </font>
    <font>
      <sz val="12"/>
      <color theme="1"/>
      <name val="FreesiaUPC"/>
      <family val="2"/>
      <charset val="222"/>
    </font>
    <font>
      <sz val="14"/>
      <name val="FreesiaUPC"/>
      <family val="2"/>
      <charset val="222"/>
    </font>
    <font>
      <b/>
      <sz val="14"/>
      <name val="FreesiaUPC"/>
      <family val="2"/>
    </font>
    <font>
      <sz val="10"/>
      <name val="FreesiaUPC"/>
      <family val="2"/>
      <charset val="222"/>
    </font>
    <font>
      <b/>
      <sz val="14"/>
      <color rgb="FFFF0000"/>
      <name val="FreesiaUPC"/>
      <family val="2"/>
      <charset val="222"/>
    </font>
    <font>
      <b/>
      <sz val="22"/>
      <color theme="1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0">
    <xf numFmtId="0" fontId="0" fillId="0" borderId="0" xfId="0"/>
    <xf numFmtId="0" fontId="1" fillId="0" borderId="0" xfId="0" applyFont="1"/>
    <xf numFmtId="0" fontId="6" fillId="2" borderId="8" xfId="1" applyFont="1" applyFill="1" applyBorder="1" applyAlignment="1" applyProtection="1">
      <alignment horizontal="center"/>
      <protection locked="0"/>
    </xf>
    <xf numFmtId="0" fontId="5" fillId="0" borderId="9" xfId="1" applyFont="1" applyBorder="1" applyAlignment="1" applyProtection="1">
      <alignment horizontal="center"/>
      <protection locked="0"/>
    </xf>
    <xf numFmtId="0" fontId="7" fillId="2" borderId="8" xfId="1" applyFont="1" applyFill="1" applyBorder="1" applyAlignment="1" applyProtection="1">
      <alignment horizontal="center"/>
      <protection locked="0"/>
    </xf>
    <xf numFmtId="165" fontId="1" fillId="0" borderId="0" xfId="0" applyNumberFormat="1" applyFont="1"/>
    <xf numFmtId="0" fontId="5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11" xfId="0" quotePrefix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13" fillId="0" borderId="11" xfId="0" applyFont="1" applyBorder="1"/>
    <xf numFmtId="0" fontId="13" fillId="0" borderId="11" xfId="0" applyFont="1" applyBorder="1" applyAlignment="1">
      <alignment horizontal="center"/>
    </xf>
    <xf numFmtId="0" fontId="8" fillId="0" borderId="8" xfId="0" applyFont="1" applyBorder="1" applyAlignment="1"/>
    <xf numFmtId="0" fontId="10" fillId="2" borderId="1" xfId="1" applyFont="1" applyFill="1" applyBorder="1" applyAlignment="1" applyProtection="1">
      <alignment horizontal="center"/>
      <protection locked="0"/>
    </xf>
    <xf numFmtId="0" fontId="10" fillId="2" borderId="2" xfId="1" applyFont="1" applyFill="1" applyBorder="1" applyAlignment="1" applyProtection="1">
      <alignment horizontal="center"/>
      <protection locked="0"/>
    </xf>
    <xf numFmtId="0" fontId="10" fillId="2" borderId="4" xfId="1" applyFont="1" applyFill="1" applyBorder="1" applyAlignment="1" applyProtection="1">
      <alignment horizontal="center"/>
      <protection locked="0"/>
    </xf>
    <xf numFmtId="0" fontId="13" fillId="3" borderId="11" xfId="0" applyFont="1" applyFill="1" applyBorder="1"/>
    <xf numFmtId="165" fontId="13" fillId="3" borderId="11" xfId="0" applyNumberFormat="1" applyFont="1" applyFill="1" applyBorder="1"/>
    <xf numFmtId="0" fontId="11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3" fillId="0" borderId="7" xfId="0" applyFont="1" applyBorder="1"/>
    <xf numFmtId="0" fontId="1" fillId="0" borderId="6" xfId="0" applyFont="1" applyBorder="1"/>
    <xf numFmtId="165" fontId="1" fillId="0" borderId="3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14" fillId="0" borderId="0" xfId="1" applyFont="1" applyBorder="1" applyProtection="1">
      <protection locked="0"/>
    </xf>
    <xf numFmtId="0" fontId="14" fillId="0" borderId="0" xfId="1" applyFont="1" applyBorder="1" applyAlignment="1" applyProtection="1">
      <alignment horizontal="center"/>
      <protection locked="0"/>
    </xf>
    <xf numFmtId="0" fontId="14" fillId="0" borderId="0" xfId="1" applyFont="1" applyBorder="1" applyAlignment="1" applyProtection="1">
      <alignment horizontal="left"/>
      <protection locked="0"/>
    </xf>
    <xf numFmtId="15" fontId="14" fillId="0" borderId="5" xfId="1" applyNumberFormat="1" applyFont="1" applyBorder="1" applyAlignment="1" applyProtection="1">
      <alignment horizontal="left"/>
      <protection locked="0"/>
    </xf>
    <xf numFmtId="0" fontId="17" fillId="0" borderId="0" xfId="1" applyFont="1" applyBorder="1" applyAlignment="1" applyProtection="1">
      <alignment horizontal="left"/>
      <protection locked="0"/>
    </xf>
    <xf numFmtId="15" fontId="17" fillId="0" borderId="5" xfId="1" applyNumberFormat="1" applyFont="1" applyBorder="1" applyAlignment="1" applyProtection="1">
      <alignment horizontal="left"/>
      <protection locked="0"/>
    </xf>
    <xf numFmtId="0" fontId="17" fillId="0" borderId="0" xfId="1" applyFont="1" applyBorder="1" applyProtection="1">
      <protection locked="0"/>
    </xf>
    <xf numFmtId="0" fontId="10" fillId="0" borderId="10" xfId="1" applyFont="1" applyBorder="1" applyAlignment="1" applyProtection="1">
      <alignment horizontal="left"/>
      <protection locked="0"/>
    </xf>
    <xf numFmtId="0" fontId="14" fillId="0" borderId="7" xfId="1" applyFont="1" applyBorder="1" applyProtection="1">
      <protection locked="0"/>
    </xf>
    <xf numFmtId="49" fontId="14" fillId="0" borderId="7" xfId="1" applyNumberFormat="1" applyFont="1" applyBorder="1" applyProtection="1">
      <protection locked="0"/>
    </xf>
    <xf numFmtId="49" fontId="14" fillId="0" borderId="7" xfId="1" applyNumberFormat="1" applyFont="1" applyBorder="1" applyAlignment="1" applyProtection="1">
      <alignment horizontal="left"/>
      <protection locked="0"/>
    </xf>
    <xf numFmtId="0" fontId="14" fillId="0" borderId="5" xfId="1" applyFont="1" applyBorder="1" applyProtection="1">
      <protection locked="0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164" fontId="4" fillId="0" borderId="11" xfId="0" quotePrefix="1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1" xfId="0" applyFont="1" applyBorder="1"/>
    <xf numFmtId="0" fontId="9" fillId="0" borderId="10" xfId="0" applyFont="1" applyBorder="1"/>
    <xf numFmtId="0" fontId="9" fillId="0" borderId="7" xfId="0" applyFont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10" fillId="2" borderId="10" xfId="1" applyFont="1" applyFill="1" applyBorder="1" applyAlignment="1" applyProtection="1">
      <alignment horizontal="center"/>
      <protection locked="0"/>
    </xf>
    <xf numFmtId="0" fontId="10" fillId="2" borderId="8" xfId="1" applyFont="1" applyFill="1" applyBorder="1" applyAlignment="1" applyProtection="1">
      <alignment horizontal="center"/>
      <protection locked="0"/>
    </xf>
    <xf numFmtId="0" fontId="15" fillId="2" borderId="8" xfId="1" applyFont="1" applyFill="1" applyBorder="1" applyAlignment="1" applyProtection="1">
      <alignment horizontal="center" vertical="center"/>
      <protection locked="0"/>
    </xf>
    <xf numFmtId="0" fontId="14" fillId="0" borderId="0" xfId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7" xfId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4" fontId="4" fillId="0" borderId="2" xfId="0" quotePrefix="1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8" fillId="0" borderId="11" xfId="0" applyFont="1" applyFill="1" applyBorder="1" applyAlignment="1">
      <alignment vertical="center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8" xfId="1" applyFont="1" applyFill="1" applyBorder="1" applyAlignment="1" applyProtection="1">
      <alignment horizontal="center" vertical="center"/>
      <protection locked="0"/>
    </xf>
    <xf numFmtId="165" fontId="4" fillId="0" borderId="11" xfId="0" applyNumberFormat="1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vertical="center"/>
    </xf>
    <xf numFmtId="165" fontId="4" fillId="0" borderId="11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165" fontId="13" fillId="0" borderId="11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5" fillId="0" borderId="1" xfId="1" applyFont="1" applyBorder="1" applyAlignment="1" applyProtection="1">
      <alignment horizontal="center"/>
      <protection locked="0"/>
    </xf>
    <xf numFmtId="0" fontId="13" fillId="3" borderId="11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center"/>
    </xf>
    <xf numFmtId="0" fontId="18" fillId="0" borderId="0" xfId="0" applyFont="1" applyAlignment="1">
      <alignment vertical="top"/>
    </xf>
    <xf numFmtId="0" fontId="10" fillId="2" borderId="7" xfId="1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165" fontId="8" fillId="0" borderId="2" xfId="0" applyNumberFormat="1" applyFont="1" applyFill="1" applyBorder="1" applyAlignment="1">
      <alignment horizontal="center"/>
    </xf>
    <xf numFmtId="0" fontId="8" fillId="0" borderId="11" xfId="0" applyFont="1" applyBorder="1"/>
    <xf numFmtId="0" fontId="8" fillId="0" borderId="2" xfId="0" applyFont="1" applyBorder="1"/>
    <xf numFmtId="0" fontId="15" fillId="0" borderId="7" xfId="0" applyFont="1" applyBorder="1" applyAlignment="1">
      <alignment horizontal="left"/>
    </xf>
    <xf numFmtId="0" fontId="10" fillId="2" borderId="2" xfId="1" applyFont="1" applyFill="1" applyBorder="1" applyAlignment="1" applyProtection="1">
      <alignment horizontal="center" vertical="center"/>
      <protection locked="0"/>
    </xf>
    <xf numFmtId="0" fontId="10" fillId="2" borderId="8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/>
      <protection locked="0"/>
    </xf>
    <xf numFmtId="0" fontId="6" fillId="2" borderId="13" xfId="1" applyFont="1" applyFill="1" applyBorder="1" applyAlignment="1" applyProtection="1">
      <alignment horizontal="center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39564</xdr:colOff>
      <xdr:row>0</xdr:row>
      <xdr:rowOff>561975</xdr:rowOff>
    </xdr:from>
    <xdr:to>
      <xdr:col>9</xdr:col>
      <xdr:colOff>376602</xdr:colOff>
      <xdr:row>0</xdr:row>
      <xdr:rowOff>565638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9D8ED1A-8449-41C7-BC3D-4DCF23F588D3}"/>
            </a:ext>
          </a:extLst>
        </xdr:cNvPr>
        <xdr:cNvCxnSpPr/>
      </xdr:nvCxnSpPr>
      <xdr:spPr>
        <a:xfrm flipH="1">
          <a:off x="8941776" y="561975"/>
          <a:ext cx="337038" cy="3663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420809</xdr:colOff>
      <xdr:row>0</xdr:row>
      <xdr:rowOff>79129</xdr:rowOff>
    </xdr:from>
    <xdr:to>
      <xdr:col>8</xdr:col>
      <xdr:colOff>1282211</xdr:colOff>
      <xdr:row>0</xdr:row>
      <xdr:rowOff>1069730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E75874D8-EF33-492C-BF0F-CF2940A85E17}"/>
            </a:ext>
          </a:extLst>
        </xdr:cNvPr>
        <xdr:cNvGrpSpPr/>
      </xdr:nvGrpSpPr>
      <xdr:grpSpPr>
        <a:xfrm>
          <a:off x="5920461" y="79129"/>
          <a:ext cx="2675293" cy="990601"/>
          <a:chOff x="5905906" y="70337"/>
          <a:chExt cx="2685643" cy="990601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181FD503-891D-F311-F76C-92156958481C}"/>
              </a:ext>
            </a:extLst>
          </xdr:cNvPr>
          <xdr:cNvGrpSpPr/>
        </xdr:nvGrpSpPr>
        <xdr:grpSpPr>
          <a:xfrm>
            <a:off x="5905906" y="70337"/>
            <a:ext cx="2685643" cy="990601"/>
            <a:chOff x="4286656" y="63010"/>
            <a:chExt cx="2685643" cy="990601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7BBE9B-0195-100E-BC67-1074B86BBFEB}"/>
                </a:ext>
              </a:extLst>
            </xdr:cNvPr>
            <xdr:cNvSpPr/>
          </xdr:nvSpPr>
          <xdr:spPr>
            <a:xfrm>
              <a:off x="5185997" y="64476"/>
              <a:ext cx="893884" cy="989135"/>
            </a:xfrm>
            <a:prstGeom prst="rect">
              <a:avLst/>
            </a:prstGeom>
            <a:noFill/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B2C963CF-D637-A071-D14F-FF27CCB8C8B6}"/>
                </a:ext>
              </a:extLst>
            </xdr:cNvPr>
            <xdr:cNvSpPr/>
          </xdr:nvSpPr>
          <xdr:spPr>
            <a:xfrm>
              <a:off x="6078415" y="63011"/>
              <a:ext cx="893884" cy="989135"/>
            </a:xfrm>
            <a:prstGeom prst="rect">
              <a:avLst/>
            </a:prstGeom>
            <a:noFill/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b="1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95C724AB-E63A-0DDA-C58F-28E61E05844C}"/>
                </a:ext>
              </a:extLst>
            </xdr:cNvPr>
            <xdr:cNvSpPr/>
          </xdr:nvSpPr>
          <xdr:spPr>
            <a:xfrm>
              <a:off x="4286656" y="63010"/>
              <a:ext cx="893884" cy="989135"/>
            </a:xfrm>
            <a:prstGeom prst="rect">
              <a:avLst/>
            </a:prstGeom>
            <a:noFill/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2F81A7C6-DDFA-04D0-E2DD-E1A1D7075FB4}"/>
              </a:ext>
            </a:extLst>
          </xdr:cNvPr>
          <xdr:cNvCxnSpPr/>
        </xdr:nvCxnSpPr>
        <xdr:spPr>
          <a:xfrm>
            <a:off x="5912827" y="300404"/>
            <a:ext cx="267432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24910</xdr:colOff>
      <xdr:row>0</xdr:row>
      <xdr:rowOff>67407</xdr:rowOff>
    </xdr:from>
    <xdr:to>
      <xdr:col>12</xdr:col>
      <xdr:colOff>252047</xdr:colOff>
      <xdr:row>0</xdr:row>
      <xdr:rowOff>1056542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73454EA6-44E5-4A4E-9CE4-61B2881FD18E}"/>
            </a:ext>
          </a:extLst>
        </xdr:cNvPr>
        <xdr:cNvGrpSpPr/>
      </xdr:nvGrpSpPr>
      <xdr:grpSpPr>
        <a:xfrm>
          <a:off x="9284867" y="67407"/>
          <a:ext cx="856615" cy="989135"/>
          <a:chOff x="9012115" y="58615"/>
          <a:chExt cx="901213" cy="989135"/>
        </a:xfrm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EAACC66A-5740-124C-9612-B154794658D6}"/>
              </a:ext>
            </a:extLst>
          </xdr:cNvPr>
          <xdr:cNvSpPr/>
        </xdr:nvSpPr>
        <xdr:spPr>
          <a:xfrm>
            <a:off x="9012115" y="58615"/>
            <a:ext cx="893884" cy="989135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B3DDC3E4-B416-663C-D3DD-69AC2DA87E22}"/>
              </a:ext>
            </a:extLst>
          </xdr:cNvPr>
          <xdr:cNvCxnSpPr/>
        </xdr:nvCxnSpPr>
        <xdr:spPr>
          <a:xfrm>
            <a:off x="9019442" y="300404"/>
            <a:ext cx="893886" cy="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10</xdr:col>
      <xdr:colOff>54219</xdr:colOff>
      <xdr:row>0</xdr:row>
      <xdr:rowOff>45427</xdr:rowOff>
    </xdr:from>
    <xdr:ext cx="808555" cy="35445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DE53317-55A3-4AB3-8A67-6C998808137B}"/>
            </a:ext>
          </a:extLst>
        </xdr:cNvPr>
        <xdr:cNvSpPr txBox="1"/>
      </xdr:nvSpPr>
      <xdr:spPr>
        <a:xfrm>
          <a:off x="9337431" y="45427"/>
          <a:ext cx="808555" cy="354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latin typeface="FreesiaUPC" panose="020B0604020202020204" pitchFamily="34" charset="-34"/>
              <a:cs typeface="FreesiaUPC" panose="020B0604020202020204" pitchFamily="34" charset="-34"/>
            </a:rPr>
            <a:t>S/T DDEM</a:t>
          </a:r>
        </a:p>
      </xdr:txBody>
    </xdr:sp>
    <xdr:clientData/>
  </xdr:oneCellAnchor>
  <xdr:oneCellAnchor>
    <xdr:from>
      <xdr:col>8</xdr:col>
      <xdr:colOff>529003</xdr:colOff>
      <xdr:row>0</xdr:row>
      <xdr:rowOff>21981</xdr:rowOff>
    </xdr:from>
    <xdr:ext cx="683520" cy="35445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2A7E716-2F1D-41FC-A136-01C0A767F117}"/>
            </a:ext>
          </a:extLst>
        </xdr:cNvPr>
        <xdr:cNvSpPr txBox="1"/>
      </xdr:nvSpPr>
      <xdr:spPr>
        <a:xfrm>
          <a:off x="8134349" y="21981"/>
          <a:ext cx="683520" cy="354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latin typeface="FreesiaUPC" panose="020B0604020202020204" pitchFamily="34" charset="-34"/>
              <a:cs typeface="FreesiaUPC" panose="020B0604020202020204" pitchFamily="34" charset="-34"/>
            </a:rPr>
            <a:t>Foreman</a:t>
          </a:r>
        </a:p>
      </xdr:txBody>
    </xdr:sp>
    <xdr:clientData/>
  </xdr:oneCellAnchor>
  <xdr:oneCellAnchor>
    <xdr:from>
      <xdr:col>7</xdr:col>
      <xdr:colOff>1428749</xdr:colOff>
      <xdr:row>0</xdr:row>
      <xdr:rowOff>35170</xdr:rowOff>
    </xdr:from>
    <xdr:ext cx="731419" cy="35445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C7F05F-036F-4D08-B3C4-33EEAFDA549B}"/>
            </a:ext>
          </a:extLst>
        </xdr:cNvPr>
        <xdr:cNvSpPr txBox="1"/>
      </xdr:nvSpPr>
      <xdr:spPr>
        <a:xfrm>
          <a:off x="7224345" y="35170"/>
          <a:ext cx="731419" cy="354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latin typeface="FreesiaUPC" panose="020B0604020202020204" pitchFamily="34" charset="-34"/>
              <a:cs typeface="FreesiaUPC" panose="020B0604020202020204" pitchFamily="34" charset="-34"/>
            </a:rPr>
            <a:t>ESA SEM</a:t>
          </a:r>
        </a:p>
      </xdr:txBody>
    </xdr:sp>
    <xdr:clientData/>
  </xdr:oneCellAnchor>
  <xdr:oneCellAnchor>
    <xdr:from>
      <xdr:col>7</xdr:col>
      <xdr:colOff>533399</xdr:colOff>
      <xdr:row>0</xdr:row>
      <xdr:rowOff>26378</xdr:rowOff>
    </xdr:from>
    <xdr:ext cx="741870" cy="35445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7C59D39-B601-42D9-8166-21A491341FD4}"/>
            </a:ext>
          </a:extLst>
        </xdr:cNvPr>
        <xdr:cNvSpPr txBox="1"/>
      </xdr:nvSpPr>
      <xdr:spPr>
        <a:xfrm>
          <a:off x="6328995" y="26378"/>
          <a:ext cx="741870" cy="354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latin typeface="FreesiaUPC" panose="020B0604020202020204" pitchFamily="34" charset="-34"/>
              <a:cs typeface="FreesiaUPC" panose="020B0604020202020204" pitchFamily="34" charset="-34"/>
            </a:rPr>
            <a:t>ESC DEM</a:t>
          </a:r>
        </a:p>
      </xdr:txBody>
    </xdr:sp>
    <xdr:clientData/>
  </xdr:oneCellAnchor>
  <xdr:twoCellAnchor>
    <xdr:from>
      <xdr:col>7</xdr:col>
      <xdr:colOff>890701</xdr:colOff>
      <xdr:row>0</xdr:row>
      <xdr:rowOff>1056542</xdr:rowOff>
    </xdr:from>
    <xdr:to>
      <xdr:col>11</xdr:col>
      <xdr:colOff>134611</xdr:colOff>
      <xdr:row>0</xdr:row>
      <xdr:rowOff>1068264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456B4CC-EA93-1A25-1B05-5155CB91931D}"/>
            </a:ext>
          </a:extLst>
        </xdr:cNvPr>
        <xdr:cNvCxnSpPr>
          <a:stCxn id="17" idx="2"/>
          <a:endCxn id="19" idx="2"/>
        </xdr:cNvCxnSpPr>
      </xdr:nvCxnSpPr>
      <xdr:spPr>
        <a:xfrm rot="5400000" flipH="1" flipV="1">
          <a:off x="8874508" y="-631240"/>
          <a:ext cx="11722" cy="3387285"/>
        </a:xfrm>
        <a:prstGeom prst="bentConnector3">
          <a:avLst>
            <a:gd name="adj1" fmla="val -1384909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"/>
  <sheetViews>
    <sheetView tabSelected="1" topLeftCell="A31" zoomScale="115" zoomScaleNormal="115" zoomScaleSheetLayoutView="130" zoomScalePageLayoutView="115" workbookViewId="0">
      <selection activeCell="A12" sqref="A12:XFD12"/>
    </sheetView>
  </sheetViews>
  <sheetFormatPr defaultColWidth="9.140625" defaultRowHeight="18" x14ac:dyDescent="0.35"/>
  <cols>
    <col min="1" max="1" width="4.140625" style="1" customWidth="1"/>
    <col min="2" max="2" width="4.28515625" style="5" customWidth="1"/>
    <col min="3" max="3" width="24.140625" style="1" customWidth="1"/>
    <col min="4" max="4" width="4" style="1" customWidth="1"/>
    <col min="5" max="5" width="10.7109375" style="1" customWidth="1"/>
    <col min="6" max="6" width="11.42578125" style="57" customWidth="1"/>
    <col min="7" max="7" width="23.85546875" style="1" customWidth="1"/>
    <col min="8" max="8" width="27.140625" style="1" customWidth="1"/>
    <col min="9" max="9" width="23.7109375" style="1" customWidth="1"/>
    <col min="10" max="10" width="5.42578125" style="57" customWidth="1"/>
    <col min="11" max="12" width="4.7109375" style="1" customWidth="1"/>
    <col min="13" max="13" width="4.85546875" style="1" customWidth="1"/>
    <col min="14" max="16384" width="9.140625" style="1"/>
  </cols>
  <sheetData>
    <row r="1" spans="1:13" ht="102.75" customHeight="1" x14ac:dyDescent="0.35">
      <c r="A1" s="84" t="s">
        <v>45</v>
      </c>
    </row>
    <row r="2" spans="1:13" ht="21" x14ac:dyDescent="0.45">
      <c r="A2" s="94" t="s">
        <v>0</v>
      </c>
      <c r="B2" s="17" t="s">
        <v>1</v>
      </c>
      <c r="C2" s="17" t="s">
        <v>71</v>
      </c>
      <c r="D2" s="94" t="s">
        <v>2</v>
      </c>
      <c r="E2" s="17" t="s">
        <v>3</v>
      </c>
      <c r="F2" s="72" t="s">
        <v>46</v>
      </c>
      <c r="G2" s="18" t="s">
        <v>73</v>
      </c>
      <c r="H2" s="53" t="s">
        <v>74</v>
      </c>
      <c r="I2" s="18" t="s">
        <v>76</v>
      </c>
      <c r="J2" s="85" t="s">
        <v>77</v>
      </c>
      <c r="K2" s="96" t="s">
        <v>4</v>
      </c>
      <c r="L2" s="97"/>
      <c r="M2" s="98" t="s">
        <v>27</v>
      </c>
    </row>
    <row r="3" spans="1:13" ht="21" x14ac:dyDescent="0.45">
      <c r="A3" s="95"/>
      <c r="B3" s="19" t="s">
        <v>5</v>
      </c>
      <c r="C3" s="19" t="s">
        <v>72</v>
      </c>
      <c r="D3" s="95"/>
      <c r="E3" s="19" t="s">
        <v>6</v>
      </c>
      <c r="F3" s="73" t="s">
        <v>7</v>
      </c>
      <c r="G3" s="2"/>
      <c r="H3" s="54" t="s">
        <v>75</v>
      </c>
      <c r="I3" s="4"/>
      <c r="J3" s="55"/>
      <c r="K3" s="2">
        <v>4052</v>
      </c>
      <c r="L3" s="2">
        <v>4054</v>
      </c>
      <c r="M3" s="99"/>
    </row>
    <row r="4" spans="1:13" ht="17.25" customHeight="1" x14ac:dyDescent="0.4">
      <c r="A4" s="7">
        <v>1</v>
      </c>
      <c r="B4" s="74">
        <v>3</v>
      </c>
      <c r="C4" s="8" t="s">
        <v>24</v>
      </c>
      <c r="D4" s="7" t="s">
        <v>26</v>
      </c>
      <c r="E4" s="70" t="s">
        <v>56</v>
      </c>
      <c r="F4" s="45" t="s">
        <v>56</v>
      </c>
      <c r="G4" s="11" t="s">
        <v>78</v>
      </c>
      <c r="H4" s="11" t="s">
        <v>82</v>
      </c>
      <c r="I4" s="8" t="s">
        <v>43</v>
      </c>
      <c r="J4" s="42">
        <v>1</v>
      </c>
      <c r="K4" s="12" t="s">
        <v>9</v>
      </c>
      <c r="L4" s="12" t="s">
        <v>9</v>
      </c>
      <c r="M4" s="6">
        <v>2</v>
      </c>
    </row>
    <row r="5" spans="1:13" ht="17.25" customHeight="1" x14ac:dyDescent="0.4">
      <c r="A5" s="9">
        <v>2</v>
      </c>
      <c r="B5" s="74">
        <v>15</v>
      </c>
      <c r="C5" s="8" t="s">
        <v>41</v>
      </c>
      <c r="D5" s="7" t="s">
        <v>26</v>
      </c>
      <c r="E5" s="45" t="s">
        <v>56</v>
      </c>
      <c r="F5" s="45" t="s">
        <v>56</v>
      </c>
      <c r="G5" s="11" t="s">
        <v>79</v>
      </c>
      <c r="H5" s="11" t="s">
        <v>82</v>
      </c>
      <c r="I5" s="8" t="s">
        <v>57</v>
      </c>
      <c r="J5" s="42">
        <v>4</v>
      </c>
      <c r="K5" s="12" t="s">
        <v>9</v>
      </c>
      <c r="L5" s="12" t="s">
        <v>9</v>
      </c>
      <c r="M5" s="6">
        <v>2</v>
      </c>
    </row>
    <row r="6" spans="1:13" ht="17.25" customHeight="1" x14ac:dyDescent="0.4">
      <c r="A6" s="7">
        <v>3</v>
      </c>
      <c r="B6" s="74">
        <v>20</v>
      </c>
      <c r="C6" s="8" t="s">
        <v>28</v>
      </c>
      <c r="D6" s="7" t="s">
        <v>8</v>
      </c>
      <c r="E6" s="44" t="s">
        <v>50</v>
      </c>
      <c r="F6" s="44" t="s">
        <v>51</v>
      </c>
      <c r="G6" s="11" t="s">
        <v>80</v>
      </c>
      <c r="H6" s="11" t="s">
        <v>105</v>
      </c>
      <c r="I6" s="8" t="s">
        <v>29</v>
      </c>
      <c r="J6" s="42">
        <v>2</v>
      </c>
      <c r="K6" s="12" t="s">
        <v>9</v>
      </c>
      <c r="L6" s="12" t="s">
        <v>9</v>
      </c>
      <c r="M6" s="6">
        <v>3</v>
      </c>
    </row>
    <row r="7" spans="1:13" ht="17.25" customHeight="1" x14ac:dyDescent="0.4">
      <c r="A7" s="7">
        <v>4</v>
      </c>
      <c r="B7" s="78">
        <v>54</v>
      </c>
      <c r="C7" s="16" t="s">
        <v>115</v>
      </c>
      <c r="D7" s="15" t="s">
        <v>26</v>
      </c>
      <c r="E7" s="80" t="s">
        <v>116</v>
      </c>
      <c r="F7" s="59" t="s">
        <v>56</v>
      </c>
      <c r="G7" s="14" t="s">
        <v>117</v>
      </c>
      <c r="H7" s="14" t="s">
        <v>118</v>
      </c>
      <c r="I7" s="14" t="s">
        <v>142</v>
      </c>
      <c r="J7" s="59">
        <v>1</v>
      </c>
      <c r="K7" s="12" t="s">
        <v>9</v>
      </c>
      <c r="L7" s="12" t="s">
        <v>9</v>
      </c>
      <c r="M7" s="6">
        <v>9</v>
      </c>
    </row>
    <row r="8" spans="1:13" ht="17.25" customHeight="1" x14ac:dyDescent="0.4">
      <c r="A8" s="7">
        <v>5</v>
      </c>
      <c r="B8" s="74">
        <v>55</v>
      </c>
      <c r="C8" s="8" t="s">
        <v>25</v>
      </c>
      <c r="D8" s="7" t="s">
        <v>26</v>
      </c>
      <c r="E8" s="70" t="s">
        <v>56</v>
      </c>
      <c r="F8" s="45" t="s">
        <v>56</v>
      </c>
      <c r="G8" s="11" t="s">
        <v>94</v>
      </c>
      <c r="H8" s="11" t="s">
        <v>82</v>
      </c>
      <c r="I8" s="8" t="s">
        <v>44</v>
      </c>
      <c r="J8" s="42">
        <v>1</v>
      </c>
      <c r="K8" s="12" t="s">
        <v>9</v>
      </c>
      <c r="L8" s="12" t="s">
        <v>9</v>
      </c>
      <c r="M8" s="6">
        <v>5</v>
      </c>
    </row>
    <row r="9" spans="1:13" ht="17.25" customHeight="1" x14ac:dyDescent="0.4">
      <c r="A9" s="86">
        <v>6</v>
      </c>
      <c r="B9" s="90">
        <v>67</v>
      </c>
      <c r="C9" s="91" t="s">
        <v>157</v>
      </c>
      <c r="D9" s="86" t="s">
        <v>8</v>
      </c>
      <c r="E9" s="88" t="s">
        <v>165</v>
      </c>
      <c r="F9" s="69" t="s">
        <v>164</v>
      </c>
      <c r="G9" s="89" t="s">
        <v>159</v>
      </c>
      <c r="H9" s="89" t="s">
        <v>160</v>
      </c>
      <c r="I9" s="87" t="s">
        <v>161</v>
      </c>
      <c r="J9" s="65">
        <v>1</v>
      </c>
      <c r="K9" s="12" t="s">
        <v>9</v>
      </c>
      <c r="L9" s="12" t="s">
        <v>9</v>
      </c>
      <c r="M9" s="67">
        <v>9</v>
      </c>
    </row>
    <row r="10" spans="1:13" ht="17.25" customHeight="1" x14ac:dyDescent="0.4">
      <c r="A10" s="86">
        <v>7</v>
      </c>
      <c r="B10" s="90">
        <v>75</v>
      </c>
      <c r="C10" s="92" t="s">
        <v>158</v>
      </c>
      <c r="D10" s="86" t="s">
        <v>26</v>
      </c>
      <c r="E10" s="88" t="s">
        <v>166</v>
      </c>
      <c r="F10" s="69" t="s">
        <v>164</v>
      </c>
      <c r="G10" s="89" t="s">
        <v>81</v>
      </c>
      <c r="H10" s="89" t="s">
        <v>162</v>
      </c>
      <c r="I10" s="87" t="s">
        <v>163</v>
      </c>
      <c r="J10" s="65">
        <v>1</v>
      </c>
      <c r="K10" s="12" t="s">
        <v>9</v>
      </c>
      <c r="L10" s="12" t="s">
        <v>9</v>
      </c>
      <c r="M10" s="67">
        <v>9</v>
      </c>
    </row>
    <row r="11" spans="1:13" ht="21.75" customHeight="1" x14ac:dyDescent="0.35">
      <c r="A11" s="83">
        <v>8</v>
      </c>
      <c r="B11" s="75">
        <v>83</v>
      </c>
      <c r="C11" s="64" t="s">
        <v>30</v>
      </c>
      <c r="D11" s="65" t="s">
        <v>26</v>
      </c>
      <c r="E11" s="68" t="s">
        <v>56</v>
      </c>
      <c r="F11" s="69" t="s">
        <v>56</v>
      </c>
      <c r="G11" s="63" t="s">
        <v>83</v>
      </c>
      <c r="H11" s="63" t="s">
        <v>175</v>
      </c>
      <c r="I11" s="64" t="s">
        <v>39</v>
      </c>
      <c r="J11" s="65">
        <v>2</v>
      </c>
      <c r="K11" s="66" t="s">
        <v>9</v>
      </c>
      <c r="L11" s="66" t="s">
        <v>9</v>
      </c>
      <c r="M11" s="67">
        <v>3</v>
      </c>
    </row>
    <row r="12" spans="1:13" ht="17.25" customHeight="1" x14ac:dyDescent="0.4">
      <c r="A12" s="7">
        <v>9</v>
      </c>
      <c r="B12" s="74">
        <v>94</v>
      </c>
      <c r="C12" s="11" t="s">
        <v>87</v>
      </c>
      <c r="D12" s="7" t="s">
        <v>26</v>
      </c>
      <c r="E12" s="44" t="s">
        <v>52</v>
      </c>
      <c r="F12" s="44" t="s">
        <v>53</v>
      </c>
      <c r="G12" s="11" t="s">
        <v>86</v>
      </c>
      <c r="H12" s="11" t="s">
        <v>85</v>
      </c>
      <c r="I12" s="8" t="s">
        <v>40</v>
      </c>
      <c r="J12" s="42">
        <v>1</v>
      </c>
      <c r="K12" s="12" t="s">
        <v>9</v>
      </c>
      <c r="L12" s="12" t="s">
        <v>9</v>
      </c>
      <c r="M12" s="6">
        <v>9</v>
      </c>
    </row>
    <row r="13" spans="1:13" ht="17.25" customHeight="1" x14ac:dyDescent="0.4">
      <c r="A13" s="7">
        <v>10</v>
      </c>
      <c r="B13" s="74">
        <v>119</v>
      </c>
      <c r="C13" s="8" t="s">
        <v>31</v>
      </c>
      <c r="D13" s="51" t="s">
        <v>63</v>
      </c>
      <c r="E13" s="44" t="s">
        <v>58</v>
      </c>
      <c r="F13" s="44" t="s">
        <v>62</v>
      </c>
      <c r="G13" s="11" t="s">
        <v>79</v>
      </c>
      <c r="H13" s="11" t="s">
        <v>143</v>
      </c>
      <c r="I13" s="43" t="s">
        <v>139</v>
      </c>
      <c r="J13" s="58">
        <v>1</v>
      </c>
      <c r="K13" s="12" t="s">
        <v>9</v>
      </c>
      <c r="L13" s="12" t="s">
        <v>9</v>
      </c>
      <c r="M13" s="6">
        <v>2</v>
      </c>
    </row>
    <row r="14" spans="1:13" ht="17.25" customHeight="1" x14ac:dyDescent="0.4">
      <c r="A14" s="15">
        <v>11</v>
      </c>
      <c r="B14" s="78">
        <v>128</v>
      </c>
      <c r="C14" s="16" t="s">
        <v>121</v>
      </c>
      <c r="D14" s="15" t="s">
        <v>8</v>
      </c>
      <c r="E14" s="59" t="s">
        <v>122</v>
      </c>
      <c r="F14" s="59" t="s">
        <v>122</v>
      </c>
      <c r="G14" s="14" t="s">
        <v>123</v>
      </c>
      <c r="H14" s="14" t="s">
        <v>124</v>
      </c>
      <c r="I14" s="14" t="s">
        <v>144</v>
      </c>
      <c r="J14" s="59">
        <v>1</v>
      </c>
      <c r="K14" s="12" t="s">
        <v>9</v>
      </c>
      <c r="L14" s="12" t="s">
        <v>9</v>
      </c>
      <c r="M14" s="6">
        <v>9</v>
      </c>
    </row>
    <row r="15" spans="1:13" ht="18.75" customHeight="1" x14ac:dyDescent="0.35">
      <c r="A15" s="7">
        <v>12</v>
      </c>
      <c r="B15" s="78">
        <v>151</v>
      </c>
      <c r="C15" s="79" t="s">
        <v>97</v>
      </c>
      <c r="D15" s="59" t="s">
        <v>26</v>
      </c>
      <c r="E15" s="80" t="s">
        <v>110</v>
      </c>
      <c r="F15" s="59" t="s">
        <v>56</v>
      </c>
      <c r="G15" s="80" t="s">
        <v>129</v>
      </c>
      <c r="H15" s="80" t="s">
        <v>130</v>
      </c>
      <c r="I15" s="80" t="s">
        <v>70</v>
      </c>
      <c r="J15" s="59">
        <v>10</v>
      </c>
      <c r="K15" s="46" t="s">
        <v>9</v>
      </c>
      <c r="L15" s="46" t="s">
        <v>9</v>
      </c>
      <c r="M15" s="47">
        <v>3</v>
      </c>
    </row>
    <row r="16" spans="1:13" ht="21" customHeight="1" x14ac:dyDescent="0.35">
      <c r="A16" s="7">
        <v>13</v>
      </c>
      <c r="B16" s="78">
        <v>152</v>
      </c>
      <c r="C16" s="79" t="s">
        <v>96</v>
      </c>
      <c r="D16" s="59" t="s">
        <v>26</v>
      </c>
      <c r="E16" s="80" t="s">
        <v>110</v>
      </c>
      <c r="F16" s="59" t="s">
        <v>56</v>
      </c>
      <c r="G16" s="80" t="s">
        <v>131</v>
      </c>
      <c r="H16" s="80" t="s">
        <v>130</v>
      </c>
      <c r="I16" s="80" t="s">
        <v>70</v>
      </c>
      <c r="J16" s="59">
        <v>10</v>
      </c>
      <c r="K16" s="46" t="s">
        <v>9</v>
      </c>
      <c r="L16" s="46" t="s">
        <v>9</v>
      </c>
      <c r="M16" s="47">
        <v>3</v>
      </c>
    </row>
    <row r="17" spans="1:13" ht="17.25" customHeight="1" x14ac:dyDescent="0.4">
      <c r="A17" s="15">
        <v>14</v>
      </c>
      <c r="B17" s="74">
        <v>158</v>
      </c>
      <c r="C17" s="8" t="s">
        <v>59</v>
      </c>
      <c r="D17" s="7" t="s">
        <v>8</v>
      </c>
      <c r="E17" s="45" t="s">
        <v>60</v>
      </c>
      <c r="F17" s="45" t="s">
        <v>58</v>
      </c>
      <c r="G17" s="13" t="s">
        <v>93</v>
      </c>
      <c r="H17" s="13" t="s">
        <v>145</v>
      </c>
      <c r="I17" s="8" t="s">
        <v>146</v>
      </c>
      <c r="J17" s="42">
        <v>1</v>
      </c>
      <c r="K17" s="12" t="s">
        <v>9</v>
      </c>
      <c r="L17" s="12" t="s">
        <v>9</v>
      </c>
      <c r="M17" s="6">
        <v>9</v>
      </c>
    </row>
    <row r="18" spans="1:13" ht="17.25" customHeight="1" x14ac:dyDescent="0.4">
      <c r="A18" s="7">
        <v>15</v>
      </c>
      <c r="B18" s="78">
        <v>174</v>
      </c>
      <c r="C18" s="71" t="s">
        <v>125</v>
      </c>
      <c r="D18" s="15" t="s">
        <v>26</v>
      </c>
      <c r="E18" s="80" t="s">
        <v>110</v>
      </c>
      <c r="F18" s="59" t="s">
        <v>56</v>
      </c>
      <c r="G18" s="14" t="s">
        <v>126</v>
      </c>
      <c r="H18" s="14" t="s">
        <v>127</v>
      </c>
      <c r="I18" s="14" t="s">
        <v>147</v>
      </c>
      <c r="J18" s="59">
        <v>3</v>
      </c>
      <c r="K18" s="12" t="s">
        <v>9</v>
      </c>
      <c r="L18" s="12" t="s">
        <v>9</v>
      </c>
      <c r="M18" s="6">
        <v>3</v>
      </c>
    </row>
    <row r="19" spans="1:13" ht="17.25" customHeight="1" x14ac:dyDescent="0.4">
      <c r="A19" s="7">
        <v>16</v>
      </c>
      <c r="B19" s="74">
        <v>218</v>
      </c>
      <c r="C19" s="8" t="s">
        <v>36</v>
      </c>
      <c r="D19" s="7" t="s">
        <v>8</v>
      </c>
      <c r="E19" s="45" t="s">
        <v>47</v>
      </c>
      <c r="F19" s="45" t="s">
        <v>49</v>
      </c>
      <c r="G19" s="11" t="s">
        <v>88</v>
      </c>
      <c r="H19" s="11" t="s">
        <v>148</v>
      </c>
      <c r="I19" s="8" t="s">
        <v>38</v>
      </c>
      <c r="J19" s="42">
        <v>1</v>
      </c>
      <c r="K19" s="12" t="s">
        <v>9</v>
      </c>
      <c r="L19" s="12" t="s">
        <v>9</v>
      </c>
      <c r="M19" s="6">
        <v>3</v>
      </c>
    </row>
    <row r="20" spans="1:13" ht="51.75" customHeight="1" x14ac:dyDescent="0.35">
      <c r="A20" s="70">
        <v>17</v>
      </c>
      <c r="B20" s="76">
        <v>266</v>
      </c>
      <c r="C20" s="43" t="s">
        <v>37</v>
      </c>
      <c r="D20" s="42" t="s">
        <v>8</v>
      </c>
      <c r="E20" s="45" t="s">
        <v>48</v>
      </c>
      <c r="F20" s="45" t="s">
        <v>49</v>
      </c>
      <c r="G20" s="13" t="s">
        <v>89</v>
      </c>
      <c r="H20" s="41" t="s">
        <v>167</v>
      </c>
      <c r="I20" s="77" t="s">
        <v>149</v>
      </c>
      <c r="J20" s="42">
        <v>12</v>
      </c>
      <c r="K20" s="46" t="s">
        <v>9</v>
      </c>
      <c r="L20" s="46" t="s">
        <v>9</v>
      </c>
      <c r="M20" s="47">
        <v>3</v>
      </c>
    </row>
    <row r="21" spans="1:13" ht="37.5" customHeight="1" x14ac:dyDescent="0.35">
      <c r="A21" s="70">
        <v>18</v>
      </c>
      <c r="B21" s="76">
        <v>275</v>
      </c>
      <c r="C21" s="43" t="s">
        <v>32</v>
      </c>
      <c r="D21" s="52" t="s">
        <v>26</v>
      </c>
      <c r="E21" s="44" t="s">
        <v>61</v>
      </c>
      <c r="F21" s="44" t="s">
        <v>62</v>
      </c>
      <c r="G21" s="13" t="s">
        <v>90</v>
      </c>
      <c r="H21" s="41" t="s">
        <v>106</v>
      </c>
      <c r="I21" s="77" t="s">
        <v>150</v>
      </c>
      <c r="J21" s="42">
        <v>24</v>
      </c>
      <c r="K21" s="46" t="s">
        <v>9</v>
      </c>
      <c r="L21" s="46" t="s">
        <v>9</v>
      </c>
      <c r="M21" s="47">
        <v>3</v>
      </c>
    </row>
    <row r="22" spans="1:13" ht="22.5" customHeight="1" x14ac:dyDescent="0.35">
      <c r="A22" s="59">
        <v>19</v>
      </c>
      <c r="B22" s="78">
        <v>280</v>
      </c>
      <c r="C22" s="79" t="s">
        <v>98</v>
      </c>
      <c r="D22" s="59" t="s">
        <v>8</v>
      </c>
      <c r="E22" s="59" t="s">
        <v>132</v>
      </c>
      <c r="F22" s="59" t="s">
        <v>132</v>
      </c>
      <c r="G22" s="80" t="s">
        <v>133</v>
      </c>
      <c r="H22" s="80" t="s">
        <v>130</v>
      </c>
      <c r="I22" s="80" t="s">
        <v>70</v>
      </c>
      <c r="J22" s="59">
        <v>5</v>
      </c>
      <c r="K22" s="46" t="s">
        <v>9</v>
      </c>
      <c r="L22" s="46" t="s">
        <v>9</v>
      </c>
      <c r="M22" s="47">
        <v>3</v>
      </c>
    </row>
    <row r="23" spans="1:13" ht="21" customHeight="1" x14ac:dyDescent="0.35">
      <c r="A23" s="59">
        <v>20</v>
      </c>
      <c r="B23" s="78">
        <v>292</v>
      </c>
      <c r="C23" s="79" t="s">
        <v>99</v>
      </c>
      <c r="D23" s="59" t="s">
        <v>26</v>
      </c>
      <c r="E23" s="59" t="s">
        <v>134</v>
      </c>
      <c r="F23" s="59" t="s">
        <v>134</v>
      </c>
      <c r="G23" s="80" t="s">
        <v>135</v>
      </c>
      <c r="H23" s="80" t="s">
        <v>137</v>
      </c>
      <c r="I23" s="80" t="s">
        <v>70</v>
      </c>
      <c r="J23" s="59">
        <v>12</v>
      </c>
      <c r="K23" s="46" t="s">
        <v>9</v>
      </c>
      <c r="L23" s="46" t="s">
        <v>9</v>
      </c>
      <c r="M23" s="47">
        <v>3</v>
      </c>
    </row>
    <row r="24" spans="1:13" ht="21" customHeight="1" x14ac:dyDescent="0.35">
      <c r="A24" s="15">
        <v>21</v>
      </c>
      <c r="B24" s="78">
        <v>304</v>
      </c>
      <c r="C24" s="16" t="s">
        <v>111</v>
      </c>
      <c r="D24" s="15" t="s">
        <v>26</v>
      </c>
      <c r="E24" s="15" t="s">
        <v>112</v>
      </c>
      <c r="F24" s="59" t="s">
        <v>56</v>
      </c>
      <c r="G24" s="14" t="s">
        <v>113</v>
      </c>
      <c r="H24" s="14" t="s">
        <v>114</v>
      </c>
      <c r="I24" s="14" t="s">
        <v>151</v>
      </c>
      <c r="J24" s="59">
        <v>2</v>
      </c>
      <c r="K24" s="46" t="s">
        <v>9</v>
      </c>
      <c r="L24" s="46" t="s">
        <v>9</v>
      </c>
      <c r="M24" s="6">
        <v>9</v>
      </c>
    </row>
    <row r="25" spans="1:13" ht="17.25" customHeight="1" x14ac:dyDescent="0.4">
      <c r="A25" s="9">
        <v>22</v>
      </c>
      <c r="B25" s="74">
        <v>313</v>
      </c>
      <c r="C25" s="8" t="s">
        <v>104</v>
      </c>
      <c r="D25" s="7" t="s">
        <v>26</v>
      </c>
      <c r="E25" s="10" t="s">
        <v>56</v>
      </c>
      <c r="F25" s="45" t="s">
        <v>164</v>
      </c>
      <c r="G25" s="11" t="s">
        <v>107</v>
      </c>
      <c r="H25" s="11" t="s">
        <v>108</v>
      </c>
      <c r="I25" s="8" t="s">
        <v>42</v>
      </c>
      <c r="J25" s="42">
        <v>1</v>
      </c>
      <c r="K25" s="12" t="s">
        <v>9</v>
      </c>
      <c r="L25" s="12" t="s">
        <v>9</v>
      </c>
      <c r="M25" s="6">
        <v>9</v>
      </c>
    </row>
    <row r="26" spans="1:13" ht="17.25" customHeight="1" x14ac:dyDescent="0.4">
      <c r="A26" s="9">
        <v>23</v>
      </c>
      <c r="B26" s="74">
        <v>315</v>
      </c>
      <c r="C26" s="8" t="s">
        <v>33</v>
      </c>
      <c r="D26" s="7" t="s">
        <v>26</v>
      </c>
      <c r="E26" s="10" t="s">
        <v>56</v>
      </c>
      <c r="F26" s="45" t="s">
        <v>56</v>
      </c>
      <c r="G26" s="11" t="s">
        <v>91</v>
      </c>
      <c r="H26" s="11" t="s">
        <v>152</v>
      </c>
      <c r="I26" s="8" t="s">
        <v>153</v>
      </c>
      <c r="J26" s="42">
        <v>1</v>
      </c>
      <c r="K26" s="12" t="s">
        <v>9</v>
      </c>
      <c r="L26" s="12" t="s">
        <v>9</v>
      </c>
      <c r="M26" s="6">
        <v>9</v>
      </c>
    </row>
    <row r="27" spans="1:13" ht="17.25" customHeight="1" x14ac:dyDescent="0.4">
      <c r="A27" s="15">
        <v>24</v>
      </c>
      <c r="B27" s="78">
        <v>336</v>
      </c>
      <c r="C27" s="16" t="s">
        <v>100</v>
      </c>
      <c r="D27" s="15" t="s">
        <v>26</v>
      </c>
      <c r="E27" s="15" t="s">
        <v>110</v>
      </c>
      <c r="F27" s="59" t="s">
        <v>56</v>
      </c>
      <c r="G27" s="14" t="s">
        <v>136</v>
      </c>
      <c r="H27" s="14" t="s">
        <v>130</v>
      </c>
      <c r="I27" s="14" t="s">
        <v>70</v>
      </c>
      <c r="J27" s="59">
        <v>1</v>
      </c>
      <c r="K27" s="12" t="s">
        <v>9</v>
      </c>
      <c r="L27" s="12" t="s">
        <v>9</v>
      </c>
      <c r="M27" s="6">
        <v>3</v>
      </c>
    </row>
    <row r="28" spans="1:13" ht="17.25" customHeight="1" x14ac:dyDescent="0.4">
      <c r="A28" s="9">
        <v>25</v>
      </c>
      <c r="B28" s="78">
        <v>345</v>
      </c>
      <c r="C28" s="16" t="s">
        <v>101</v>
      </c>
      <c r="D28" s="15" t="s">
        <v>26</v>
      </c>
      <c r="E28" s="15" t="s">
        <v>134</v>
      </c>
      <c r="F28" s="59" t="s">
        <v>134</v>
      </c>
      <c r="G28" s="14" t="s">
        <v>68</v>
      </c>
      <c r="H28" s="14" t="s">
        <v>130</v>
      </c>
      <c r="I28" s="14" t="s">
        <v>70</v>
      </c>
      <c r="J28" s="59">
        <v>10</v>
      </c>
      <c r="K28" s="12" t="s">
        <v>9</v>
      </c>
      <c r="L28" s="12" t="s">
        <v>9</v>
      </c>
      <c r="M28" s="6">
        <v>3</v>
      </c>
    </row>
    <row r="29" spans="1:13" ht="17.25" customHeight="1" x14ac:dyDescent="0.4">
      <c r="A29" s="9">
        <v>26</v>
      </c>
      <c r="B29" s="78">
        <v>354</v>
      </c>
      <c r="C29" s="16" t="s">
        <v>34</v>
      </c>
      <c r="D29" s="15" t="s">
        <v>26</v>
      </c>
      <c r="E29" s="15" t="s">
        <v>119</v>
      </c>
      <c r="F29" s="59" t="s">
        <v>56</v>
      </c>
      <c r="G29" s="14" t="s">
        <v>120</v>
      </c>
      <c r="H29" s="14" t="s">
        <v>128</v>
      </c>
      <c r="I29" s="14" t="s">
        <v>154</v>
      </c>
      <c r="J29" s="59">
        <v>3</v>
      </c>
      <c r="K29" s="12" t="s">
        <v>9</v>
      </c>
      <c r="L29" s="12" t="s">
        <v>9</v>
      </c>
      <c r="M29" s="6">
        <v>3</v>
      </c>
    </row>
    <row r="30" spans="1:13" ht="37.5" customHeight="1" x14ac:dyDescent="0.35">
      <c r="A30" s="70">
        <v>27</v>
      </c>
      <c r="B30" s="76">
        <v>365</v>
      </c>
      <c r="C30" s="43" t="s">
        <v>35</v>
      </c>
      <c r="D30" s="42" t="s">
        <v>8</v>
      </c>
      <c r="E30" s="45" t="s">
        <v>55</v>
      </c>
      <c r="F30" s="45" t="s">
        <v>54</v>
      </c>
      <c r="G30" s="13" t="s">
        <v>92</v>
      </c>
      <c r="H30" s="41" t="s">
        <v>109</v>
      </c>
      <c r="I30" s="43" t="s">
        <v>155</v>
      </c>
      <c r="J30" s="42">
        <v>2</v>
      </c>
      <c r="K30" s="46" t="s">
        <v>9</v>
      </c>
      <c r="L30" s="46" t="s">
        <v>9</v>
      </c>
      <c r="M30" s="47">
        <v>3</v>
      </c>
    </row>
    <row r="31" spans="1:13" ht="21.75" customHeight="1" x14ac:dyDescent="0.35">
      <c r="A31" s="59">
        <v>28</v>
      </c>
      <c r="B31" s="78">
        <v>515</v>
      </c>
      <c r="C31" s="79" t="s">
        <v>102</v>
      </c>
      <c r="D31" s="59" t="s">
        <v>26</v>
      </c>
      <c r="E31" s="59" t="s">
        <v>134</v>
      </c>
      <c r="F31" s="59" t="s">
        <v>134</v>
      </c>
      <c r="G31" s="80" t="s">
        <v>68</v>
      </c>
      <c r="H31" s="80" t="s">
        <v>130</v>
      </c>
      <c r="I31" s="80" t="s">
        <v>70</v>
      </c>
      <c r="J31" s="59">
        <v>10</v>
      </c>
      <c r="K31" s="46" t="s">
        <v>9</v>
      </c>
      <c r="L31" s="46" t="s">
        <v>9</v>
      </c>
      <c r="M31" s="47">
        <v>3</v>
      </c>
    </row>
    <row r="32" spans="1:13" ht="20.25" customHeight="1" x14ac:dyDescent="0.35">
      <c r="A32" s="59">
        <v>29</v>
      </c>
      <c r="B32" s="78">
        <v>536</v>
      </c>
      <c r="C32" s="79" t="s">
        <v>103</v>
      </c>
      <c r="D32" s="59" t="s">
        <v>26</v>
      </c>
      <c r="E32" s="59" t="s">
        <v>134</v>
      </c>
      <c r="F32" s="59" t="s">
        <v>134</v>
      </c>
      <c r="G32" s="80" t="s">
        <v>68</v>
      </c>
      <c r="H32" s="80" t="s">
        <v>130</v>
      </c>
      <c r="I32" s="14" t="s">
        <v>154</v>
      </c>
      <c r="J32" s="59">
        <v>3</v>
      </c>
      <c r="K32" s="46" t="s">
        <v>9</v>
      </c>
      <c r="L32" s="46" t="s">
        <v>9</v>
      </c>
      <c r="M32" s="47">
        <v>3</v>
      </c>
    </row>
    <row r="33" spans="1:13" ht="17.25" customHeight="1" x14ac:dyDescent="0.4">
      <c r="A33" s="9">
        <v>30</v>
      </c>
      <c r="B33" s="74">
        <v>554</v>
      </c>
      <c r="C33" s="8" t="s">
        <v>138</v>
      </c>
      <c r="D33" s="7" t="s">
        <v>8</v>
      </c>
      <c r="E33" s="10" t="s">
        <v>140</v>
      </c>
      <c r="F33" s="45" t="s">
        <v>141</v>
      </c>
      <c r="G33" s="11" t="s">
        <v>84</v>
      </c>
      <c r="H33" s="11" t="s">
        <v>156</v>
      </c>
      <c r="I33" s="8" t="s">
        <v>42</v>
      </c>
      <c r="J33" s="42">
        <v>1</v>
      </c>
      <c r="K33" s="12" t="s">
        <v>9</v>
      </c>
      <c r="L33" s="12" t="s">
        <v>9</v>
      </c>
      <c r="M33" s="6">
        <v>3</v>
      </c>
    </row>
    <row r="34" spans="1:13" ht="18.75" x14ac:dyDescent="0.4">
      <c r="A34" s="15">
        <v>31</v>
      </c>
      <c r="B34" s="78">
        <v>619</v>
      </c>
      <c r="C34" s="16" t="s">
        <v>64</v>
      </c>
      <c r="D34" s="15" t="s">
        <v>8</v>
      </c>
      <c r="E34" s="15" t="s">
        <v>61</v>
      </c>
      <c r="F34" s="59" t="s">
        <v>62</v>
      </c>
      <c r="G34" s="14" t="s">
        <v>68</v>
      </c>
      <c r="H34" s="14" t="s">
        <v>95</v>
      </c>
      <c r="I34" s="14" t="s">
        <v>70</v>
      </c>
      <c r="J34" s="59">
        <v>1</v>
      </c>
      <c r="K34" s="12" t="s">
        <v>9</v>
      </c>
      <c r="L34" s="12" t="s">
        <v>9</v>
      </c>
      <c r="M34" s="6">
        <v>3</v>
      </c>
    </row>
    <row r="35" spans="1:13" ht="18.75" x14ac:dyDescent="0.4">
      <c r="A35" s="15">
        <v>32</v>
      </c>
      <c r="B35" s="78">
        <v>620</v>
      </c>
      <c r="C35" s="16" t="s">
        <v>65</v>
      </c>
      <c r="D35" s="15" t="s">
        <v>8</v>
      </c>
      <c r="E35" s="15" t="s">
        <v>61</v>
      </c>
      <c r="F35" s="59" t="s">
        <v>62</v>
      </c>
      <c r="G35" s="14" t="s">
        <v>68</v>
      </c>
      <c r="H35" s="14" t="s">
        <v>95</v>
      </c>
      <c r="I35" s="14" t="s">
        <v>70</v>
      </c>
      <c r="J35" s="59">
        <v>1</v>
      </c>
      <c r="K35" s="12" t="s">
        <v>9</v>
      </c>
      <c r="L35" s="12" t="s">
        <v>9</v>
      </c>
      <c r="M35" s="6">
        <v>3</v>
      </c>
    </row>
    <row r="36" spans="1:13" ht="18.75" x14ac:dyDescent="0.4">
      <c r="A36" s="15">
        <v>33</v>
      </c>
      <c r="B36" s="78">
        <v>621</v>
      </c>
      <c r="C36" s="16" t="s">
        <v>66</v>
      </c>
      <c r="D36" s="15" t="s">
        <v>8</v>
      </c>
      <c r="E36" s="15" t="s">
        <v>61</v>
      </c>
      <c r="F36" s="59" t="s">
        <v>62</v>
      </c>
      <c r="G36" s="14" t="s">
        <v>67</v>
      </c>
      <c r="H36" s="14" t="s">
        <v>95</v>
      </c>
      <c r="I36" s="14" t="s">
        <v>70</v>
      </c>
      <c r="J36" s="59">
        <v>1</v>
      </c>
      <c r="K36" s="12" t="s">
        <v>9</v>
      </c>
      <c r="L36" s="12" t="s">
        <v>9</v>
      </c>
      <c r="M36" s="6">
        <v>3</v>
      </c>
    </row>
    <row r="37" spans="1:13" ht="18.75" x14ac:dyDescent="0.4">
      <c r="A37" s="15">
        <v>34</v>
      </c>
      <c r="B37" s="78">
        <v>648</v>
      </c>
      <c r="C37" s="16" t="s">
        <v>169</v>
      </c>
      <c r="D37" s="15" t="s">
        <v>8</v>
      </c>
      <c r="E37" s="15" t="s">
        <v>170</v>
      </c>
      <c r="F37" s="59" t="s">
        <v>171</v>
      </c>
      <c r="G37" s="14" t="s">
        <v>173</v>
      </c>
      <c r="H37" s="14" t="s">
        <v>95</v>
      </c>
      <c r="I37" s="14" t="s">
        <v>70</v>
      </c>
      <c r="J37" s="59">
        <v>1</v>
      </c>
      <c r="K37" s="12" t="s">
        <v>9</v>
      </c>
      <c r="L37" s="12" t="s">
        <v>9</v>
      </c>
      <c r="M37" s="6">
        <v>3</v>
      </c>
    </row>
    <row r="38" spans="1:13" ht="18.75" x14ac:dyDescent="0.4">
      <c r="A38" s="15">
        <v>35</v>
      </c>
      <c r="B38" s="78">
        <v>649</v>
      </c>
      <c r="C38" s="16" t="s">
        <v>172</v>
      </c>
      <c r="D38" s="15" t="s">
        <v>8</v>
      </c>
      <c r="E38" s="15" t="s">
        <v>170</v>
      </c>
      <c r="F38" s="59" t="s">
        <v>171</v>
      </c>
      <c r="G38" s="14" t="s">
        <v>174</v>
      </c>
      <c r="H38" s="14" t="s">
        <v>95</v>
      </c>
      <c r="I38" s="14" t="s">
        <v>70</v>
      </c>
      <c r="J38" s="59">
        <v>1</v>
      </c>
      <c r="K38" s="12" t="s">
        <v>9</v>
      </c>
      <c r="L38" s="12" t="s">
        <v>9</v>
      </c>
      <c r="M38" s="6">
        <v>3</v>
      </c>
    </row>
    <row r="39" spans="1:13" ht="18.75" x14ac:dyDescent="0.4">
      <c r="A39" s="15"/>
      <c r="B39" s="78"/>
      <c r="C39" s="16"/>
      <c r="D39" s="15"/>
      <c r="E39" s="15"/>
      <c r="F39" s="59"/>
      <c r="G39" s="14"/>
      <c r="H39" s="14"/>
      <c r="I39" s="14"/>
      <c r="J39" s="59"/>
      <c r="K39" s="12"/>
      <c r="L39" s="12"/>
      <c r="M39" s="6"/>
    </row>
    <row r="40" spans="1:13" ht="18.75" x14ac:dyDescent="0.4">
      <c r="A40" s="15"/>
      <c r="B40" s="78"/>
      <c r="C40" s="16"/>
      <c r="D40" s="15"/>
      <c r="E40" s="15"/>
      <c r="F40" s="59"/>
      <c r="G40" s="14"/>
      <c r="H40" s="14"/>
      <c r="I40" s="14"/>
      <c r="J40" s="59"/>
      <c r="K40" s="12"/>
      <c r="L40" s="12"/>
      <c r="M40" s="6"/>
    </row>
    <row r="41" spans="1:13" ht="18.75" x14ac:dyDescent="0.4">
      <c r="A41" s="15"/>
      <c r="B41" s="78"/>
      <c r="C41" s="16"/>
      <c r="D41" s="15"/>
      <c r="E41" s="15"/>
      <c r="F41" s="59"/>
      <c r="G41" s="14"/>
      <c r="H41" s="14"/>
      <c r="I41" s="14"/>
      <c r="J41" s="59"/>
      <c r="K41" s="12"/>
      <c r="L41" s="12"/>
      <c r="M41" s="6"/>
    </row>
    <row r="42" spans="1:13" ht="19.5" customHeight="1" x14ac:dyDescent="0.35">
      <c r="A42" s="20"/>
      <c r="B42" s="21"/>
      <c r="C42" s="20"/>
      <c r="D42" s="20"/>
      <c r="E42" s="20"/>
      <c r="F42" s="82"/>
      <c r="G42" s="23" t="s">
        <v>69</v>
      </c>
      <c r="H42" s="23"/>
      <c r="I42" s="22"/>
      <c r="J42" s="22">
        <f>SUM(J4:J41)</f>
        <v>133</v>
      </c>
      <c r="K42" s="22"/>
      <c r="L42" s="22"/>
      <c r="M42" s="22"/>
    </row>
    <row r="43" spans="1:13" ht="21" x14ac:dyDescent="0.45">
      <c r="A43" s="49"/>
      <c r="B43" s="93" t="s">
        <v>168</v>
      </c>
      <c r="C43" s="50"/>
      <c r="D43" s="24"/>
      <c r="E43" s="24"/>
      <c r="F43" s="60"/>
      <c r="G43" s="24"/>
      <c r="H43" s="24"/>
      <c r="I43" s="24"/>
      <c r="J43" s="60"/>
      <c r="K43" s="24"/>
      <c r="L43" s="24"/>
      <c r="M43" s="48"/>
    </row>
    <row r="44" spans="1:13" ht="21" x14ac:dyDescent="0.45">
      <c r="A44" s="36" t="s">
        <v>10</v>
      </c>
      <c r="B44" s="37"/>
      <c r="C44" s="38"/>
      <c r="D44" s="37"/>
      <c r="E44" s="37"/>
      <c r="F44" s="61"/>
      <c r="G44" s="39"/>
      <c r="H44" s="39"/>
      <c r="I44" s="37"/>
      <c r="J44" s="61"/>
      <c r="K44" s="37"/>
      <c r="L44" s="37"/>
      <c r="M44" s="81"/>
    </row>
    <row r="45" spans="1:13" ht="20.25" x14ac:dyDescent="0.4">
      <c r="A45" s="32" t="s">
        <v>11</v>
      </c>
      <c r="B45" s="29"/>
      <c r="C45" s="31" t="s">
        <v>12</v>
      </c>
      <c r="D45" s="29"/>
      <c r="E45" s="29"/>
      <c r="F45" s="56"/>
      <c r="G45" s="31" t="s">
        <v>13</v>
      </c>
      <c r="H45" s="31"/>
      <c r="I45" s="29"/>
      <c r="J45" s="56"/>
      <c r="K45" s="29"/>
      <c r="L45" s="29"/>
      <c r="M45" s="3"/>
    </row>
    <row r="46" spans="1:13" ht="21" x14ac:dyDescent="0.45">
      <c r="A46" s="32" t="s">
        <v>14</v>
      </c>
      <c r="B46" s="29"/>
      <c r="C46" s="31" t="s">
        <v>15</v>
      </c>
      <c r="D46" s="29"/>
      <c r="E46" s="29"/>
      <c r="F46" s="56"/>
      <c r="G46" s="33" t="s">
        <v>16</v>
      </c>
      <c r="H46" s="33"/>
      <c r="I46" s="29"/>
      <c r="J46" s="56"/>
      <c r="K46" s="29"/>
      <c r="L46" s="29"/>
      <c r="M46" s="3"/>
    </row>
    <row r="47" spans="1:13" ht="21" x14ac:dyDescent="0.45">
      <c r="A47" s="34" t="s">
        <v>17</v>
      </c>
      <c r="B47" s="35"/>
      <c r="C47" s="33" t="s">
        <v>18</v>
      </c>
      <c r="D47" s="29"/>
      <c r="E47" s="29"/>
      <c r="F47" s="56"/>
      <c r="G47" s="31" t="s">
        <v>19</v>
      </c>
      <c r="H47" s="31"/>
      <c r="I47" s="29"/>
      <c r="J47" s="56"/>
      <c r="K47" s="29"/>
      <c r="L47" s="29"/>
      <c r="M47" s="3"/>
    </row>
    <row r="48" spans="1:13" ht="20.25" x14ac:dyDescent="0.4">
      <c r="A48" s="32" t="s">
        <v>20</v>
      </c>
      <c r="B48" s="29"/>
      <c r="C48" s="31" t="s">
        <v>21</v>
      </c>
      <c r="D48" s="29"/>
      <c r="E48" s="29"/>
      <c r="F48" s="56"/>
      <c r="G48" s="31" t="s">
        <v>22</v>
      </c>
      <c r="H48" s="31"/>
      <c r="I48" s="30"/>
      <c r="J48" s="56"/>
      <c r="K48" s="29"/>
      <c r="L48" s="29"/>
      <c r="M48" s="3"/>
    </row>
    <row r="49" spans="1:13" ht="20.25" x14ac:dyDescent="0.4">
      <c r="A49" s="40"/>
      <c r="B49" s="29"/>
      <c r="C49" s="29"/>
      <c r="D49" s="29"/>
      <c r="E49" s="29"/>
      <c r="F49" s="56"/>
      <c r="G49" s="31" t="s">
        <v>23</v>
      </c>
      <c r="H49" s="31"/>
      <c r="I49" s="30"/>
      <c r="J49" s="56"/>
      <c r="K49" s="29"/>
      <c r="L49" s="29"/>
      <c r="M49" s="3"/>
    </row>
    <row r="50" spans="1:13" x14ac:dyDescent="0.35">
      <c r="A50" s="25"/>
      <c r="B50" s="26"/>
      <c r="C50" s="27"/>
      <c r="D50" s="27"/>
      <c r="E50" s="27"/>
      <c r="F50" s="62"/>
      <c r="G50" s="27"/>
      <c r="H50" s="27"/>
      <c r="I50" s="27"/>
      <c r="J50" s="62"/>
      <c r="K50" s="27"/>
      <c r="L50" s="27"/>
      <c r="M50" s="28"/>
    </row>
  </sheetData>
  <mergeCells count="4">
    <mergeCell ref="A2:A3"/>
    <mergeCell ref="D2:D3"/>
    <mergeCell ref="K2:L2"/>
    <mergeCell ref="M2:M3"/>
  </mergeCells>
  <conditionalFormatting sqref="B2:B3">
    <cfRule type="duplicateValues" dxfId="4" priority="4"/>
  </conditionalFormatting>
  <conditionalFormatting sqref="B44:B49">
    <cfRule type="duplicateValues" dxfId="3" priority="2"/>
  </conditionalFormatting>
  <conditionalFormatting sqref="B50:B1048576 B4:B42">
    <cfRule type="duplicateValues" dxfId="2" priority="24"/>
  </conditionalFormatting>
  <conditionalFormatting sqref="B1:B1048576">
    <cfRule type="duplicateValues" dxfId="1" priority="35"/>
  </conditionalFormatting>
  <conditionalFormatting sqref="B43">
    <cfRule type="duplicateValues" dxfId="0" priority="36"/>
  </conditionalFormatting>
  <pageMargins left="0.32852564102564102" right="0.15" top="0.53804347826086951" bottom="0.35" header="0.23" footer="7.0000000000000007E-2"/>
  <pageSetup paperSize="9" scale="94" orientation="landscape" horizontalDpi="300" verticalDpi="300" r:id="rId1"/>
  <headerFooter>
    <oddHeader>&amp;L&amp;"FreesiaUPC,Bold"&amp;18REV. NO. AG</oddHeader>
    <oddFooter>&amp;C&amp;"FreesiaUPC,Regular"&amp;14List of ESA chemical requisition and installing registration records&amp;R&amp;"FreesiaUPC,Regular"&amp;12PAGE &amp;P OF 2</oddFooter>
  </headerFooter>
  <rowBreaks count="1" manualBreakCount="1">
    <brk id="2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THตัด</vt:lpstr>
      <vt:lpstr>THตัด!Print_Area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2024-10-15T03:44:12Z</cp:lastPrinted>
  <dcterms:created xsi:type="dcterms:W3CDTF">2016-09-21T03:27:10Z</dcterms:created>
  <dcterms:modified xsi:type="dcterms:W3CDTF">2025-01-20T09:29:05Z</dcterms:modified>
</cp:coreProperties>
</file>